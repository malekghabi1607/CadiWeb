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P:\FORMATIONS_C\TEL\P05-P06-dossier-conception-referentiel\fiche-de-cout-et-code-de-formation\"/>
    </mc:Choice>
  </mc:AlternateContent>
  <xr:revisionPtr revIDLastSave="0" documentId="13_ncr:1_{03E331B7-4D2B-4B1C-A567-4E5DACC3AB21}" xr6:coauthVersionLast="47" xr6:coauthVersionMax="47" xr10:uidLastSave="{00000000-0000-0000-0000-000000000000}"/>
  <bookViews>
    <workbookView xWindow="28680" yWindow="-120" windowWidth="29040" windowHeight="15720" tabRatio="731" firstSheet="2" activeTab="4" xr2:uid="{00000000-000D-0000-FFFF-FFFF00000000}"/>
  </bookViews>
  <sheets>
    <sheet name="Gestion des versions" sheetId="19" r:id="rId1"/>
    <sheet name="Mode d'emploi" sheetId="15" r:id="rId2"/>
    <sheet name="Table FD&amp;FC" sheetId="18" r:id="rId3"/>
    <sheet name="Fiche de coûts" sheetId="1" r:id="rId4"/>
    <sheet name="Feuil1" sheetId="20" r:id="rId5"/>
    <sheet name="LMS" sheetId="16" r:id="rId6"/>
    <sheet name="Conception numérique" sheetId="17" r:id="rId7"/>
    <sheet name="Coûts installations" sheetId="2" r:id="rId8"/>
    <sheet name="Coûts frais variables" sheetId="3" r:id="rId9"/>
    <sheet name="Coûts frais déplacement" sheetId="4" r:id="rId10"/>
  </sheets>
  <externalReferences>
    <externalReference r:id="rId11"/>
  </externalReferences>
  <definedNames>
    <definedName name="_xlnm._FilterDatabase" localSheetId="2" hidden="1">'Table FD&amp;FC'!$U$3:$W$98</definedName>
    <definedName name="_xlnm.Print_Titles" localSheetId="2">'Table FD&amp;FC'!$3:$3</definedName>
    <definedName name="marge">#REF!</definedName>
    <definedName name="_xlnm.Print_Area" localSheetId="6">'Conception numérique'!$A$1:$C$37</definedName>
    <definedName name="_xlnm.Print_Area" localSheetId="3">'Fiche de coûts'!$A$1:$N$104</definedName>
    <definedName name="_xlnm.Print_Area" localSheetId="5">LMS!$A$1:$D$23</definedName>
    <definedName name="_xlnm.Print_Area" localSheetId="2">'Table FD&amp;FC'!#REF!</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1" i="20" l="1"/>
  <c r="B30" i="20"/>
  <c r="B29" i="20"/>
  <c r="B28" i="20"/>
  <c r="B27" i="20"/>
  <c r="B33" i="20" l="1"/>
  <c r="G22" i="20"/>
  <c r="G15" i="20"/>
  <c r="E12" i="20"/>
  <c r="E13" i="20" s="1"/>
  <c r="G12" i="20"/>
  <c r="G13" i="20" s="1"/>
  <c r="G10" i="20"/>
  <c r="F10" i="20"/>
  <c r="E10" i="20" s="1"/>
  <c r="E11" i="20"/>
  <c r="E3" i="20"/>
  <c r="F2" i="20"/>
  <c r="E2" i="20" s="1"/>
  <c r="G2" i="20"/>
  <c r="F75" i="1" l="1"/>
  <c r="M120" i="1" l="1"/>
  <c r="D7" i="3" l="1"/>
  <c r="E7" i="3" s="1"/>
  <c r="D8" i="3"/>
  <c r="E8" i="3" s="1"/>
  <c r="I59" i="1" l="1"/>
  <c r="J21" i="1" l="1"/>
  <c r="C15" i="1" l="1"/>
  <c r="C14" i="1"/>
  <c r="C119" i="1" l="1"/>
  <c r="Q70" i="18" l="1"/>
  <c r="Q71" i="18"/>
  <c r="Q67" i="18"/>
  <c r="Q77" i="18"/>
  <c r="B12" i="17" l="1"/>
  <c r="H18" i="2" l="1"/>
  <c r="D23" i="2"/>
  <c r="D22" i="2"/>
  <c r="D21" i="2"/>
  <c r="D20" i="2"/>
  <c r="D19" i="2"/>
  <c r="D18" i="2"/>
  <c r="H22" i="2"/>
  <c r="H21" i="2"/>
  <c r="H20" i="2"/>
  <c r="H19" i="2"/>
  <c r="E71" i="2"/>
  <c r="E64" i="2"/>
  <c r="H53" i="2"/>
  <c r="H55" i="2"/>
  <c r="H54" i="2"/>
  <c r="H52" i="2"/>
  <c r="H51" i="2"/>
  <c r="H50" i="2"/>
  <c r="H49" i="2"/>
  <c r="H48" i="2"/>
  <c r="H47" i="2"/>
  <c r="H46" i="2"/>
  <c r="D55" i="2"/>
  <c r="D54" i="2"/>
  <c r="D52" i="2"/>
  <c r="D51" i="2"/>
  <c r="D50" i="2"/>
  <c r="D49" i="2"/>
  <c r="D48" i="2"/>
  <c r="D47" i="2"/>
  <c r="D46" i="2"/>
  <c r="H45" i="2"/>
  <c r="E63" i="2"/>
  <c r="D45" i="2"/>
  <c r="B118" i="1" l="1"/>
  <c r="B117" i="1"/>
  <c r="C115" i="1" l="1"/>
  <c r="C122" i="1"/>
  <c r="C123" i="1"/>
  <c r="C148" i="1"/>
  <c r="C147" i="1"/>
  <c r="M5" i="1" l="1"/>
  <c r="C146" i="1"/>
  <c r="C116" i="1" l="1"/>
  <c r="E102" i="1" l="1"/>
  <c r="E100" i="1"/>
  <c r="E99" i="1"/>
  <c r="E98" i="1"/>
  <c r="E97" i="1"/>
  <c r="E96" i="1"/>
  <c r="E81" i="1"/>
  <c r="E80" i="1"/>
  <c r="E79" i="1"/>
  <c r="E78" i="1"/>
  <c r="E76" i="1"/>
  <c r="E75" i="1"/>
  <c r="E74" i="1"/>
  <c r="E73" i="1"/>
  <c r="E72" i="1"/>
  <c r="E71" i="1"/>
  <c r="E70" i="1"/>
  <c r="E69" i="1"/>
  <c r="E68" i="1"/>
  <c r="E67" i="1"/>
  <c r="E66" i="1"/>
  <c r="E65" i="1"/>
  <c r="E64" i="1"/>
  <c r="E54" i="1"/>
  <c r="E53" i="1"/>
  <c r="E52" i="1"/>
  <c r="E51" i="1"/>
  <c r="E50" i="1"/>
  <c r="E49" i="1"/>
  <c r="E47" i="1"/>
  <c r="K47" i="1" s="1"/>
  <c r="E46" i="1"/>
  <c r="E45" i="1"/>
  <c r="E44" i="1"/>
  <c r="E43" i="1"/>
  <c r="E42" i="1"/>
  <c r="E41" i="1"/>
  <c r="E40" i="1"/>
  <c r="E39" i="1"/>
  <c r="H76" i="1" l="1"/>
  <c r="M76" i="1" s="1"/>
  <c r="B17" i="16" l="1"/>
  <c r="B35" i="17"/>
  <c r="B24" i="17"/>
  <c r="B17" i="17"/>
  <c r="C83" i="1" l="1"/>
  <c r="E83" i="1" s="1"/>
  <c r="N103" i="1"/>
  <c r="N101" i="1"/>
  <c r="N84" i="1"/>
  <c r="N77" i="1"/>
  <c r="N86" i="1"/>
  <c r="N39" i="1"/>
  <c r="N55" i="1"/>
  <c r="N102" i="1"/>
  <c r="N100" i="1"/>
  <c r="N99" i="1"/>
  <c r="N98" i="1"/>
  <c r="N97" i="1"/>
  <c r="N96" i="1"/>
  <c r="N81" i="1"/>
  <c r="N80" i="1"/>
  <c r="N79" i="1"/>
  <c r="N78" i="1"/>
  <c r="N76" i="1"/>
  <c r="N74" i="1"/>
  <c r="N73" i="1"/>
  <c r="N72" i="1"/>
  <c r="N71" i="1"/>
  <c r="N70" i="1"/>
  <c r="N69" i="1"/>
  <c r="N68" i="1"/>
  <c r="N67" i="1"/>
  <c r="N66" i="1"/>
  <c r="N65" i="1"/>
  <c r="N64" i="1"/>
  <c r="N54" i="1"/>
  <c r="N53" i="1"/>
  <c r="N52" i="1"/>
  <c r="N51" i="1"/>
  <c r="N50" i="1"/>
  <c r="N49" i="1"/>
  <c r="N47" i="1"/>
  <c r="N46" i="1"/>
  <c r="N45" i="1"/>
  <c r="N44" i="1"/>
  <c r="N43" i="1"/>
  <c r="N42" i="1"/>
  <c r="N41" i="1"/>
  <c r="N40" i="1"/>
  <c r="L76" i="1"/>
  <c r="K39" i="1" l="1"/>
  <c r="L39" i="1"/>
  <c r="H47" i="4" l="1"/>
  <c r="G47" i="4"/>
  <c r="F47" i="4"/>
  <c r="E47" i="4"/>
  <c r="D47" i="4"/>
  <c r="B92" i="1" l="1"/>
  <c r="C6" i="1"/>
  <c r="Q39" i="18"/>
  <c r="Q40" i="18"/>
  <c r="Q41" i="18"/>
  <c r="Q42" i="18"/>
  <c r="Q43" i="18"/>
  <c r="Q44" i="18"/>
  <c r="Q45" i="18"/>
  <c r="Q46" i="18"/>
  <c r="Q47" i="18"/>
  <c r="Q48" i="18"/>
  <c r="Q49" i="18"/>
  <c r="Q50" i="18"/>
  <c r="Q51" i="18"/>
  <c r="Q52" i="18"/>
  <c r="Q53" i="18"/>
  <c r="Q54" i="18"/>
  <c r="Q55" i="18"/>
  <c r="Q56" i="18"/>
  <c r="Q57" i="18"/>
  <c r="Q58" i="18"/>
  <c r="Q59" i="18"/>
  <c r="Q60" i="18"/>
  <c r="Q61" i="18"/>
  <c r="Q62" i="18"/>
  <c r="Q63" i="18"/>
  <c r="Q64" i="18"/>
  <c r="Q65" i="18"/>
  <c r="Q66" i="18"/>
  <c r="Q68" i="18"/>
  <c r="Q69" i="18"/>
  <c r="Q72" i="18"/>
  <c r="Q73" i="18"/>
  <c r="Q74" i="18"/>
  <c r="Q75" i="18"/>
  <c r="Q76" i="18"/>
  <c r="Q78" i="18"/>
  <c r="Q79" i="18"/>
  <c r="Q80" i="18"/>
  <c r="Q81" i="18"/>
  <c r="Q82" i="18"/>
  <c r="Q83" i="18"/>
  <c r="Q84" i="18"/>
  <c r="Q85" i="18"/>
  <c r="Q86" i="18"/>
  <c r="Q87" i="18"/>
  <c r="Q88" i="18"/>
  <c r="Q89" i="18"/>
  <c r="Q90" i="18"/>
  <c r="Q91" i="18"/>
  <c r="Q92" i="18"/>
  <c r="Q93" i="18"/>
  <c r="Q94" i="18"/>
  <c r="Q95" i="18"/>
  <c r="Q96" i="18"/>
  <c r="Q97" i="18"/>
  <c r="Q5" i="18"/>
  <c r="Q6" i="18"/>
  <c r="Q7" i="18"/>
  <c r="Q8" i="18"/>
  <c r="Q9" i="18"/>
  <c r="Q10" i="18"/>
  <c r="Q11" i="18"/>
  <c r="Q12" i="18"/>
  <c r="Q13" i="18"/>
  <c r="Q14" i="18"/>
  <c r="Q15" i="18"/>
  <c r="Q16" i="18"/>
  <c r="Q17" i="18"/>
  <c r="Q18" i="18"/>
  <c r="Q19" i="18"/>
  <c r="Q20" i="18"/>
  <c r="Q21" i="18"/>
  <c r="Q22" i="18"/>
  <c r="Q23" i="18"/>
  <c r="Q24" i="18"/>
  <c r="Q25" i="18"/>
  <c r="Q26" i="18"/>
  <c r="Q27" i="18"/>
  <c r="Q28" i="18"/>
  <c r="Q29" i="18"/>
  <c r="Q30" i="18"/>
  <c r="Q31" i="18"/>
  <c r="Q32" i="18"/>
  <c r="Q33" i="18"/>
  <c r="Q34" i="18"/>
  <c r="Q35" i="18"/>
  <c r="Q36" i="18"/>
  <c r="Q37" i="18"/>
  <c r="Q38" i="18"/>
  <c r="Q4" i="18"/>
  <c r="C21" i="1" l="1"/>
  <c r="C20" i="1" s="1"/>
  <c r="K28" i="1" s="1"/>
  <c r="N28" i="1"/>
  <c r="J28" i="1"/>
  <c r="M28" i="1"/>
  <c r="L28" i="1"/>
  <c r="B4" i="16"/>
  <c r="C42" i="16"/>
  <c r="C43" i="16" s="1"/>
  <c r="C44" i="16" s="1"/>
  <c r="C45" i="16" s="1"/>
  <c r="C46" i="16" s="1"/>
  <c r="C47" i="16" s="1"/>
  <c r="C48" i="16" s="1"/>
  <c r="L26" i="1" l="1"/>
  <c r="L27" i="1" s="1"/>
  <c r="L29" i="1" s="1"/>
  <c r="J26" i="1"/>
  <c r="J27" i="1" s="1"/>
  <c r="J29" i="1" s="1"/>
  <c r="N26" i="1"/>
  <c r="N27" i="1" s="1"/>
  <c r="N29" i="1" s="1"/>
  <c r="M26" i="1"/>
  <c r="M27" i="1" s="1"/>
  <c r="M29" i="1" s="1"/>
  <c r="K26" i="1"/>
  <c r="K27" i="1" s="1"/>
  <c r="K29" i="1" s="1"/>
  <c r="B11" i="16"/>
  <c r="E65" i="2" l="1"/>
  <c r="E66" i="2"/>
  <c r="E67" i="2"/>
  <c r="E68" i="2"/>
  <c r="E69" i="2"/>
  <c r="E70" i="2"/>
  <c r="E73" i="2"/>
  <c r="E74" i="2"/>
  <c r="E61" i="2"/>
  <c r="E59" i="2"/>
  <c r="G120" i="1" l="1"/>
  <c r="H75" i="1" l="1"/>
  <c r="A46" i="17"/>
  <c r="A43" i="17"/>
  <c r="A53" i="17" s="1"/>
  <c r="A44" i="17"/>
  <c r="A45" i="17"/>
  <c r="C35" i="17"/>
  <c r="C26" i="17"/>
  <c r="B45" i="17"/>
  <c r="B30" i="17"/>
  <c r="B29" i="17"/>
  <c r="B28" i="17"/>
  <c r="B27" i="17"/>
  <c r="B26" i="17"/>
  <c r="C24" i="17"/>
  <c r="B44" i="17"/>
  <c r="B19" i="17"/>
  <c r="C19" i="17"/>
  <c r="C17" i="17"/>
  <c r="B37" i="17" l="1"/>
  <c r="N75" i="1"/>
  <c r="L75" i="1"/>
  <c r="B50" i="17"/>
  <c r="G48" i="1" s="1"/>
  <c r="B53" i="17"/>
  <c r="B54" i="17"/>
  <c r="B46" i="17"/>
  <c r="B43" i="17"/>
  <c r="B49" i="17"/>
  <c r="F48" i="1" s="1"/>
  <c r="H48" i="1" l="1"/>
  <c r="B47" i="17"/>
  <c r="C48" i="1" s="1"/>
  <c r="B55" i="17"/>
  <c r="J48" i="1" s="1"/>
  <c r="B57" i="17" l="1"/>
  <c r="B5" i="17"/>
  <c r="C14" i="16"/>
  <c r="B3" i="16"/>
  <c r="B14" i="16" s="1"/>
  <c r="J83" i="1" s="1"/>
  <c r="C17" i="16"/>
  <c r="E48" i="1" l="1"/>
  <c r="N48" i="1" s="1"/>
  <c r="N56" i="1" s="1"/>
  <c r="N58" i="1" s="1"/>
  <c r="N60" i="1" s="1"/>
  <c r="K83" i="1"/>
  <c r="B19" i="16"/>
  <c r="L83" i="1" l="1"/>
  <c r="N83" i="1"/>
  <c r="M83" i="1"/>
  <c r="K75" i="1"/>
  <c r="I19" i="4" l="1"/>
  <c r="I20" i="4"/>
  <c r="I21" i="4"/>
  <c r="D4" i="3" l="1"/>
  <c r="E4" i="3" s="1"/>
  <c r="D21" i="3"/>
  <c r="E21" i="3" s="1"/>
  <c r="J95" i="1" s="1"/>
  <c r="N95" i="1" s="1"/>
  <c r="D20" i="3"/>
  <c r="E20" i="3" s="1"/>
  <c r="J94" i="1" s="1"/>
  <c r="K94" i="1" s="1"/>
  <c r="D19" i="3"/>
  <c r="E19" i="3" s="1"/>
  <c r="J93" i="1" s="1"/>
  <c r="D18" i="3"/>
  <c r="E18" i="3" s="1"/>
  <c r="J92" i="1" s="1"/>
  <c r="D5" i="3"/>
  <c r="E5" i="3" s="1"/>
  <c r="D6" i="3"/>
  <c r="E6" i="3" s="1"/>
  <c r="D9" i="3"/>
  <c r="E9" i="3" s="1"/>
  <c r="D17" i="3"/>
  <c r="E17" i="3" s="1"/>
  <c r="J90" i="1" s="1"/>
  <c r="N90" i="1" s="1"/>
  <c r="D16" i="3"/>
  <c r="E16" i="3" s="1"/>
  <c r="J89" i="1" s="1"/>
  <c r="N89" i="1" s="1"/>
  <c r="D15" i="3"/>
  <c r="E15" i="3" s="1"/>
  <c r="J88" i="1" s="1"/>
  <c r="D14" i="3"/>
  <c r="E14" i="3" s="1"/>
  <c r="J87" i="1" s="1"/>
  <c r="G113" i="1"/>
  <c r="G125" i="1"/>
  <c r="G124" i="1"/>
  <c r="L120" i="1"/>
  <c r="M103" i="1"/>
  <c r="K115" i="1"/>
  <c r="G123" i="1"/>
  <c r="G122" i="1"/>
  <c r="G121" i="1"/>
  <c r="B93" i="1"/>
  <c r="B94" i="1"/>
  <c r="B95" i="1"/>
  <c r="K86" i="1"/>
  <c r="K84" i="1"/>
  <c r="I24" i="4"/>
  <c r="I23" i="4"/>
  <c r="I22" i="4"/>
  <c r="I18" i="4"/>
  <c r="M101" i="1"/>
  <c r="M86" i="1"/>
  <c r="M84" i="1"/>
  <c r="M77" i="1"/>
  <c r="M55" i="1"/>
  <c r="C104" i="1"/>
  <c r="D104" i="1"/>
  <c r="I104" i="1"/>
  <c r="F104" i="1"/>
  <c r="G104" i="1"/>
  <c r="L103" i="1"/>
  <c r="L101" i="1"/>
  <c r="L86" i="1"/>
  <c r="L84" i="1"/>
  <c r="L77" i="1"/>
  <c r="F23" i="2"/>
  <c r="H23" i="2" s="1"/>
  <c r="D56" i="1"/>
  <c r="D58" i="1" s="1"/>
  <c r="D60" i="1" s="1"/>
  <c r="C56" i="1"/>
  <c r="H32" i="2"/>
  <c r="D32" i="2"/>
  <c r="H31" i="2"/>
  <c r="D31" i="2"/>
  <c r="H30" i="2"/>
  <c r="D30" i="2"/>
  <c r="H29" i="2"/>
  <c r="D29" i="2"/>
  <c r="H40" i="2"/>
  <c r="D40" i="2"/>
  <c r="H39" i="2"/>
  <c r="D39" i="2"/>
  <c r="H38" i="2"/>
  <c r="D38" i="2"/>
  <c r="H37" i="2"/>
  <c r="D37" i="2"/>
  <c r="D9" i="2"/>
  <c r="D5" i="2"/>
  <c r="D6" i="2"/>
  <c r="D7" i="2"/>
  <c r="D8" i="2"/>
  <c r="D4" i="2"/>
  <c r="H104" i="1"/>
  <c r="J56" i="1"/>
  <c r="J58" i="1" s="1"/>
  <c r="J60" i="1" s="1"/>
  <c r="I56" i="1"/>
  <c r="I58" i="1" s="1"/>
  <c r="I60" i="1" s="1"/>
  <c r="L55" i="1"/>
  <c r="C58" i="1" l="1"/>
  <c r="C60" i="1" s="1"/>
  <c r="D13" i="2"/>
  <c r="J85" i="1" s="1"/>
  <c r="N85" i="1" s="1"/>
  <c r="M94" i="1"/>
  <c r="N94" i="1"/>
  <c r="K87" i="1"/>
  <c r="N87" i="1"/>
  <c r="M93" i="1"/>
  <c r="N93" i="1"/>
  <c r="L88" i="1"/>
  <c r="N88" i="1"/>
  <c r="K92" i="1"/>
  <c r="N92" i="1"/>
  <c r="D10" i="2"/>
  <c r="J82" i="1" s="1"/>
  <c r="M87" i="1"/>
  <c r="L87" i="1"/>
  <c r="M92" i="1"/>
  <c r="L92" i="1"/>
  <c r="L93" i="1"/>
  <c r="L45" i="1"/>
  <c r="K90" i="1"/>
  <c r="M90" i="1"/>
  <c r="K95" i="1"/>
  <c r="L99" i="1"/>
  <c r="L50" i="1"/>
  <c r="K48" i="1"/>
  <c r="M42" i="1"/>
  <c r="K64" i="1"/>
  <c r="K41" i="1"/>
  <c r="M45" i="1"/>
  <c r="K73" i="1"/>
  <c r="L95" i="1"/>
  <c r="L65" i="1"/>
  <c r="M89" i="1"/>
  <c r="K89" i="1"/>
  <c r="L89" i="1"/>
  <c r="K93" i="1"/>
  <c r="L94" i="1"/>
  <c r="E10" i="3"/>
  <c r="J91" i="1" s="1"/>
  <c r="L81" i="1"/>
  <c r="M81" i="1"/>
  <c r="K81" i="1"/>
  <c r="K45" i="1"/>
  <c r="K77" i="1"/>
  <c r="K101" i="1"/>
  <c r="K88" i="1"/>
  <c r="K55" i="1"/>
  <c r="L90" i="1"/>
  <c r="M88" i="1"/>
  <c r="M95" i="1"/>
  <c r="I25" i="4"/>
  <c r="I26" i="4" s="1"/>
  <c r="L82" i="1" l="1"/>
  <c r="N82" i="1"/>
  <c r="K91" i="1"/>
  <c r="J10" i="1" s="1"/>
  <c r="N91" i="1"/>
  <c r="N10" i="1" s="1"/>
  <c r="K66" i="1"/>
  <c r="K102" i="1"/>
  <c r="K103" i="1"/>
  <c r="K82" i="1"/>
  <c r="M82" i="1"/>
  <c r="M41" i="1"/>
  <c r="L68" i="1"/>
  <c r="K68" i="1"/>
  <c r="M50" i="1"/>
  <c r="M66" i="1"/>
  <c r="L66" i="1"/>
  <c r="K50" i="1"/>
  <c r="M49" i="1"/>
  <c r="K49" i="1"/>
  <c r="M69" i="1"/>
  <c r="K69" i="1"/>
  <c r="K99" i="1"/>
  <c r="M99" i="1"/>
  <c r="M73" i="1"/>
  <c r="L73" i="1"/>
  <c r="K42" i="1"/>
  <c r="L42" i="1"/>
  <c r="K96" i="1"/>
  <c r="L96" i="1"/>
  <c r="M96" i="1"/>
  <c r="M102" i="1"/>
  <c r="L69" i="1"/>
  <c r="L102" i="1"/>
  <c r="M47" i="1"/>
  <c r="L47" i="1"/>
  <c r="M68" i="1"/>
  <c r="L64" i="1"/>
  <c r="M64" i="1"/>
  <c r="M40" i="1"/>
  <c r="L40" i="1"/>
  <c r="K40" i="1"/>
  <c r="L48" i="1"/>
  <c r="M48" i="1"/>
  <c r="M65" i="1"/>
  <c r="K65" i="1"/>
  <c r="L49" i="1"/>
  <c r="L41" i="1"/>
  <c r="M91" i="1"/>
  <c r="L91" i="1"/>
  <c r="L10" i="1" s="1"/>
  <c r="K10" i="1" s="1"/>
  <c r="M75" i="1"/>
  <c r="M67" i="1"/>
  <c r="L67" i="1"/>
  <c r="K67" i="1"/>
  <c r="K80" i="1"/>
  <c r="M80" i="1"/>
  <c r="L80" i="1"/>
  <c r="M72" i="1"/>
  <c r="L72" i="1"/>
  <c r="K72" i="1"/>
  <c r="K51" i="1"/>
  <c r="M51" i="1"/>
  <c r="L51" i="1"/>
  <c r="L79" i="1"/>
  <c r="K79" i="1"/>
  <c r="M79" i="1"/>
  <c r="M100" i="1"/>
  <c r="K100" i="1"/>
  <c r="L100" i="1"/>
  <c r="L85" i="1"/>
  <c r="K85" i="1"/>
  <c r="M85" i="1"/>
  <c r="K43" i="1"/>
  <c r="L43" i="1"/>
  <c r="M43" i="1"/>
  <c r="L97" i="1"/>
  <c r="K97" i="1"/>
  <c r="M97" i="1"/>
  <c r="K46" i="1"/>
  <c r="L46" i="1"/>
  <c r="M46" i="1"/>
  <c r="L70" i="1"/>
  <c r="M70" i="1"/>
  <c r="K70" i="1"/>
  <c r="E104" i="1"/>
  <c r="M74" i="1"/>
  <c r="L74" i="1"/>
  <c r="K74" i="1"/>
  <c r="M78" i="1"/>
  <c r="K78" i="1"/>
  <c r="L78" i="1"/>
  <c r="L53" i="1"/>
  <c r="K53" i="1"/>
  <c r="M53" i="1"/>
  <c r="K98" i="1"/>
  <c r="M98" i="1"/>
  <c r="L98" i="1"/>
  <c r="K52" i="1"/>
  <c r="M52" i="1"/>
  <c r="L52" i="1"/>
  <c r="M39" i="1"/>
  <c r="E56" i="1"/>
  <c r="E58" i="1" s="1"/>
  <c r="E60" i="1" s="1"/>
  <c r="M54" i="1"/>
  <c r="L54" i="1"/>
  <c r="K54" i="1"/>
  <c r="M71" i="1"/>
  <c r="K71" i="1"/>
  <c r="L71" i="1"/>
  <c r="K76" i="1"/>
  <c r="M44" i="1"/>
  <c r="K44" i="1"/>
  <c r="L44" i="1"/>
  <c r="J104" i="1"/>
  <c r="N104" i="1" l="1"/>
  <c r="N35" i="1" s="1"/>
  <c r="N12" i="1" s="1"/>
  <c r="N14" i="1" s="1"/>
  <c r="N15" i="1" s="1"/>
  <c r="M10" i="1"/>
  <c r="K56" i="1"/>
  <c r="K104" i="1"/>
  <c r="M104" i="1"/>
  <c r="L104" i="1"/>
  <c r="L56" i="1"/>
  <c r="M56" i="1"/>
  <c r="M58" i="1" s="1"/>
  <c r="N13" i="1" l="1"/>
  <c r="N8" i="1"/>
  <c r="N9" i="1" s="1"/>
  <c r="M60" i="1"/>
  <c r="M35" i="1" s="1"/>
  <c r="L58" i="1"/>
  <c r="L60" i="1" s="1"/>
  <c r="L35" i="1" s="1"/>
  <c r="K58" i="1"/>
  <c r="K60" i="1" s="1"/>
  <c r="K12" i="1" l="1"/>
  <c r="K13" i="1" s="1"/>
  <c r="L12" i="1"/>
  <c r="N6" i="1"/>
  <c r="M12" i="1"/>
  <c r="K35" i="1"/>
  <c r="J125" i="1"/>
  <c r="K125" i="1" s="1"/>
  <c r="J122" i="1"/>
  <c r="K122" i="1" s="1"/>
  <c r="J121" i="1"/>
  <c r="K121" i="1" s="1"/>
  <c r="J123" i="1"/>
  <c r="K123" i="1" s="1"/>
  <c r="J124" i="1"/>
  <c r="K124" i="1" s="1"/>
  <c r="L13" i="1" l="1"/>
  <c r="L6" i="1" s="1"/>
  <c r="N21" i="1"/>
  <c r="J12" i="1"/>
  <c r="L11" i="1"/>
  <c r="M11" i="1"/>
  <c r="M8" i="1" s="1"/>
  <c r="M9" i="1" s="1"/>
  <c r="I123" i="1"/>
  <c r="I124" i="1"/>
  <c r="I121" i="1"/>
  <c r="I122" i="1"/>
  <c r="I125" i="1"/>
  <c r="J14" i="1" l="1"/>
  <c r="J15" i="1" s="1"/>
  <c r="J11" i="1"/>
  <c r="J8" i="1" s="1"/>
  <c r="J9" i="1" s="1"/>
  <c r="M22" i="1" s="1"/>
  <c r="N7" i="1"/>
  <c r="L8" i="1"/>
  <c r="L9" i="1" s="1"/>
  <c r="N23" i="1" s="1"/>
  <c r="J13" i="1"/>
  <c r="J6" i="1" s="1"/>
  <c r="N16" i="1" l="1"/>
  <c r="N17" i="1" s="1"/>
  <c r="J16" i="1"/>
  <c r="J18" i="1" s="1"/>
  <c r="J7" i="1"/>
  <c r="I120" i="1"/>
  <c r="N18" i="1" l="1"/>
  <c r="J17" i="1"/>
  <c r="L14" i="1" l="1"/>
  <c r="L15" i="1" s="1"/>
  <c r="M13" i="1"/>
  <c r="M14" i="1"/>
  <c r="M15" i="1" s="1"/>
  <c r="J120" i="1" l="1"/>
  <c r="L16" i="1"/>
  <c r="L18" i="1" s="1"/>
  <c r="L7" i="1"/>
  <c r="M16" i="1"/>
  <c r="M18" i="1" s="1"/>
  <c r="M6" i="1"/>
  <c r="M7" i="1" s="1"/>
  <c r="K120" i="1"/>
  <c r="M17" i="1" l="1"/>
  <c r="L17" i="1"/>
  <c r="K14" i="1"/>
  <c r="K15" i="1" s="1"/>
  <c r="K11" i="1"/>
  <c r="K8" i="1" s="1"/>
  <c r="K9" i="1" s="1"/>
  <c r="K16" i="1" l="1"/>
  <c r="K18" i="1" s="1"/>
  <c r="K1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COSTE Jean-christophe</author>
    <author>Vincent TESTARD</author>
    <author>TEIXEIRA Maud</author>
  </authors>
  <commentList>
    <comment ref="N5" authorId="0" shapeId="0" xr:uid="{00000000-0006-0000-0300-000001000000}">
      <text>
        <r>
          <rPr>
            <u/>
            <sz val="9"/>
            <color indexed="81"/>
            <rFont val="Tahoma"/>
            <family val="2"/>
          </rPr>
          <t>Méthode de calcul</t>
        </r>
        <r>
          <rPr>
            <sz val="9"/>
            <color indexed="81"/>
            <rFont val="Tahoma"/>
            <family val="2"/>
          </rPr>
          <t xml:space="preserve"> :
MO au taux T1
Autres dépenses Overheads* de 25%
Marge de 0% 
------------------------------
Prix de vente EUR
*</t>
        </r>
        <r>
          <rPr>
            <i/>
            <sz val="9"/>
            <color indexed="81"/>
            <rFont val="Tahoma"/>
            <family val="2"/>
          </rPr>
          <t>(overheads calculés sur les dépenses totales hors sous-traitance et hors coûts installation)</t>
        </r>
        <r>
          <rPr>
            <sz val="9"/>
            <color indexed="81"/>
            <rFont val="Tahoma"/>
            <family val="2"/>
          </rPr>
          <t xml:space="preserve">
</t>
        </r>
      </text>
    </comment>
    <comment ref="N32" authorId="0" shapeId="0" xr:uid="{00000000-0006-0000-0300-000002000000}">
      <text>
        <r>
          <rPr>
            <sz val="9"/>
            <color indexed="81"/>
            <rFont val="Tahoma"/>
            <family val="2"/>
          </rPr>
          <t xml:space="preserve">Contrats Horizon Europe hors contrats avec règles spécifiques (par ex. bourses Marie Curie)
</t>
        </r>
      </text>
    </comment>
    <comment ref="F75" authorId="1" shapeId="0" xr:uid="{2E576D80-102A-4F00-B9AE-E2F14239DDEC}">
      <text>
        <r>
          <rPr>
            <b/>
            <sz val="9"/>
            <color indexed="81"/>
            <rFont val="Tahoma"/>
            <family val="2"/>
          </rPr>
          <t>Vincent TESTARD:</t>
        </r>
        <r>
          <rPr>
            <sz val="9"/>
            <color indexed="81"/>
            <rFont val="Tahoma"/>
            <family val="2"/>
          </rPr>
          <t xml:space="preserve">
7,25 h de cours et 11h30 de TP à 2 intervenants</t>
        </r>
      </text>
    </comment>
    <comment ref="C122" authorId="2" shapeId="0" xr:uid="{00000000-0006-0000-0300-000004000000}">
      <text>
        <r>
          <rPr>
            <b/>
            <sz val="9"/>
            <color indexed="81"/>
            <rFont val="Tahoma"/>
            <family val="2"/>
          </rPr>
          <t>33% = charges sociales patronales</t>
        </r>
        <r>
          <rPr>
            <sz val="9"/>
            <color indexed="81"/>
            <rFont val="Tahoma"/>
            <family val="2"/>
          </rPr>
          <t xml:space="preserve">
</t>
        </r>
      </text>
    </comment>
    <comment ref="C123" authorId="2" shapeId="0" xr:uid="{00000000-0006-0000-0300-000005000000}">
      <text>
        <r>
          <rPr>
            <b/>
            <sz val="9"/>
            <color indexed="81"/>
            <rFont val="Tahoma"/>
            <family val="2"/>
          </rPr>
          <t>51% = charges sociales salariales + patronales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Vincent TESTARD</author>
  </authors>
  <commentList>
    <comment ref="B18" authorId="0" shapeId="0" xr:uid="{B10C2724-66B3-4BA0-BC76-2AF18A0537FA}">
      <text>
        <r>
          <rPr>
            <b/>
            <sz val="9"/>
            <color indexed="81"/>
            <rFont val="Tahoma"/>
            <family val="2"/>
          </rPr>
          <t>Vincent TESTARD:</t>
        </r>
        <r>
          <rPr>
            <sz val="9"/>
            <color indexed="81"/>
            <rFont val="Tahoma"/>
            <family val="2"/>
          </rPr>
          <t xml:space="preserve">
Accès au télémanipulateur : 500 €/pers.
Cependant HERA ne nous a pas demandé de payer cela depuis plusieurs années. A des fins de conservation, j'ai laissé 200 € des fois qu'ils nous le demandent à un moment</t>
        </r>
      </text>
    </comment>
  </commentList>
</comments>
</file>

<file path=xl/sharedStrings.xml><?xml version="1.0" encoding="utf-8"?>
<sst xmlns="http://schemas.openxmlformats.org/spreadsheetml/2006/main" count="1452" uniqueCount="744">
  <si>
    <t>Poste de dépenses</t>
  </si>
  <si>
    <t>Unité</t>
  </si>
  <si>
    <t>Analyse des besoins</t>
  </si>
  <si>
    <t xml:space="preserve">Définition du référentiel d'activités professionnelles </t>
  </si>
  <si>
    <t xml:space="preserve">Définition du référentiel de compétences </t>
  </si>
  <si>
    <t xml:space="preserve">Définition du référentiel de certification </t>
  </si>
  <si>
    <t>Conception du projet pédagogique</t>
  </si>
  <si>
    <t>Elaboration du contenu de la formation</t>
  </si>
  <si>
    <t xml:space="preserve">Conception des supports pédagogiques </t>
  </si>
  <si>
    <t>Rédaction cahier des charges pour sous-traitants</t>
  </si>
  <si>
    <t xml:space="preserve">Sélection et qualification des intervenants </t>
  </si>
  <si>
    <t>Elaboration de la certification</t>
  </si>
  <si>
    <t>Conception</t>
  </si>
  <si>
    <t>Temps passé communication et reporting</t>
  </si>
  <si>
    <t>Réalisation de l'avant-projet / processus offre</t>
  </si>
  <si>
    <t>Sous-total phase de conception</t>
  </si>
  <si>
    <t>Prix de vente CEA</t>
  </si>
  <si>
    <t>Prix de vente hors CEA minimum</t>
  </si>
  <si>
    <t>Rubrique</t>
  </si>
  <si>
    <t>Analyse d'opportunité</t>
  </si>
  <si>
    <t>Paramètres de la fiche de coût :</t>
  </si>
  <si>
    <t>* Taux T1 de la MO INSTN à utiliser également pour MO non permanente (CDD, intérim)</t>
  </si>
  <si>
    <r>
      <t xml:space="preserve">INSTN A1*
(taux T1)
</t>
    </r>
    <r>
      <rPr>
        <b/>
        <i/>
        <sz val="11"/>
        <color theme="1"/>
        <rFont val="Calibri"/>
        <family val="2"/>
        <scheme val="minor"/>
      </rPr>
      <t>En heures</t>
    </r>
  </si>
  <si>
    <r>
      <t xml:space="preserve">INSTN A2*
(taux T1)
</t>
    </r>
    <r>
      <rPr>
        <b/>
        <i/>
        <sz val="11"/>
        <color theme="1"/>
        <rFont val="Calibri"/>
        <family val="2"/>
        <scheme val="minor"/>
      </rPr>
      <t>En heures</t>
    </r>
  </si>
  <si>
    <t>Prestations extérieures (consultants) yc déplacements</t>
  </si>
  <si>
    <r>
      <t xml:space="preserve">Montant MO INSTN
(taux T1)
</t>
    </r>
    <r>
      <rPr>
        <b/>
        <i/>
        <sz val="11"/>
        <color theme="1"/>
        <rFont val="Calibri"/>
        <family val="2"/>
        <scheme val="minor"/>
      </rPr>
      <t>En €</t>
    </r>
  </si>
  <si>
    <r>
      <rPr>
        <b/>
        <sz val="11"/>
        <color theme="1"/>
        <rFont val="Calibri"/>
        <family val="2"/>
        <scheme val="minor"/>
      </rPr>
      <t>Coût environné T3</t>
    </r>
    <r>
      <rPr>
        <sz val="11"/>
        <color theme="1"/>
        <rFont val="Calibri"/>
        <family val="2"/>
        <scheme val="minor"/>
      </rPr>
      <t xml:space="preserve">
(taux T3 + TVA NR)</t>
    </r>
  </si>
  <si>
    <r>
      <rPr>
        <b/>
        <sz val="11"/>
        <color theme="1"/>
        <rFont val="Calibri"/>
        <family val="2"/>
        <scheme val="minor"/>
      </rPr>
      <t>Coût direct T1</t>
    </r>
    <r>
      <rPr>
        <sz val="11"/>
        <color theme="1"/>
        <rFont val="Calibri"/>
        <family val="2"/>
        <scheme val="minor"/>
      </rPr>
      <t xml:space="preserve">
par session FC
(ou promo FD)
(taux T1)</t>
    </r>
  </si>
  <si>
    <t>Sous-total phase de réalisation</t>
  </si>
  <si>
    <t>Pilotage</t>
  </si>
  <si>
    <t>Contribution aux comités (perfectionnement, pédagogie)</t>
  </si>
  <si>
    <t xml:space="preserve">Contribution aux forums et salons </t>
  </si>
  <si>
    <t xml:space="preserve">Réunion de suivi clients </t>
  </si>
  <si>
    <t xml:space="preserve">Suivi de qualification-habilitation des formateurs </t>
  </si>
  <si>
    <t>Contribution aux carrefours pédagogiques annuels</t>
  </si>
  <si>
    <t>Réalisation des immersions sur site</t>
  </si>
  <si>
    <t>Enseignement</t>
  </si>
  <si>
    <r>
      <t xml:space="preserve">Autres dépenses HT
</t>
    </r>
    <r>
      <rPr>
        <b/>
        <i/>
        <sz val="11"/>
        <color theme="1"/>
        <rFont val="Calibri"/>
        <family val="2"/>
        <scheme val="minor"/>
      </rPr>
      <t>En €</t>
    </r>
  </si>
  <si>
    <r>
      <t xml:space="preserve">Montant des vacations
</t>
    </r>
    <r>
      <rPr>
        <b/>
        <i/>
        <sz val="11"/>
        <color theme="1"/>
        <rFont val="Calibri"/>
        <family val="2"/>
        <scheme val="minor"/>
      </rPr>
      <t>En €</t>
    </r>
  </si>
  <si>
    <r>
      <t xml:space="preserve">Vacataire non CEA
</t>
    </r>
    <r>
      <rPr>
        <b/>
        <i/>
        <sz val="11"/>
        <color theme="1"/>
        <rFont val="Calibri"/>
        <family val="2"/>
        <scheme val="minor"/>
      </rPr>
      <t>En heures</t>
    </r>
  </si>
  <si>
    <r>
      <t xml:space="preserve">Vacataire CEA
</t>
    </r>
    <r>
      <rPr>
        <b/>
        <i/>
        <sz val="11"/>
        <color theme="1"/>
        <rFont val="Calibri"/>
        <family val="2"/>
        <scheme val="minor"/>
      </rPr>
      <t>En heures</t>
    </r>
  </si>
  <si>
    <t>Vacataire CEA TD</t>
  </si>
  <si>
    <t>Vacataire CEA TP</t>
  </si>
  <si>
    <t>En €</t>
  </si>
  <si>
    <t>Tutorat</t>
  </si>
  <si>
    <t xml:space="preserve">Projet tutoré </t>
  </si>
  <si>
    <t>Suivi des apprentis et des stages</t>
  </si>
  <si>
    <t>Organisation</t>
  </si>
  <si>
    <t>Bilan et cloture d'une session dans IRIS</t>
  </si>
  <si>
    <t>Gestion des intervenants, des inscriptions, etc…</t>
  </si>
  <si>
    <t>jour</t>
  </si>
  <si>
    <t>Chantier école CHE</t>
  </si>
  <si>
    <t>Chantier école MAR</t>
  </si>
  <si>
    <t>Chantier école SAC</t>
  </si>
  <si>
    <t>Radiochimie</t>
  </si>
  <si>
    <t>EVOC</t>
  </si>
  <si>
    <t>Refacturation TP externalisé (hors CEA)</t>
  </si>
  <si>
    <t>Jour</t>
  </si>
  <si>
    <t>Salle de cours 40 personnes</t>
  </si>
  <si>
    <t>Salle de cours 30 personnes</t>
  </si>
  <si>
    <t>Salle de cours 19 personnes</t>
  </si>
  <si>
    <t>Salle informatique 8 PC</t>
  </si>
  <si>
    <t>1/2 jour</t>
  </si>
  <si>
    <t>Salle informatique 9 PC</t>
  </si>
  <si>
    <t>Salle informatique 12 PC</t>
  </si>
  <si>
    <t>Salle informatique 18 PC</t>
  </si>
  <si>
    <t>Salle vidéo 3D de 40 places</t>
  </si>
  <si>
    <t>Forfait Soutenance de Thèse &amp; HDR</t>
  </si>
  <si>
    <t>acte</t>
  </si>
  <si>
    <t>Salles UEM</t>
  </si>
  <si>
    <t>Client non CEA</t>
  </si>
  <si>
    <t>1/2 Jour</t>
  </si>
  <si>
    <t>Client CEA
(remise 20%)</t>
  </si>
  <si>
    <t>Salles UES</t>
  </si>
  <si>
    <t xml:space="preserve">        Services complémentaires UES</t>
  </si>
  <si>
    <t>H1</t>
  </si>
  <si>
    <t>H2</t>
  </si>
  <si>
    <t>Salles UEC</t>
  </si>
  <si>
    <t>Autres salles UEC</t>
  </si>
  <si>
    <t>Amphi</t>
  </si>
  <si>
    <t xml:space="preserve">Salle &lt; 26 </t>
  </si>
  <si>
    <t>Salle &lt; 50</t>
  </si>
  <si>
    <t>Salle  &gt; 80</t>
  </si>
  <si>
    <t xml:space="preserve">Salle TP ou informatique </t>
  </si>
  <si>
    <t>Salles - valeurs moyennes</t>
  </si>
  <si>
    <t>Quantité</t>
  </si>
  <si>
    <t>Montant</t>
  </si>
  <si>
    <t>Montant TP reporté sur fiche de coût</t>
  </si>
  <si>
    <t>Montant salles /outils pédagos reporté sur fiche de coût</t>
  </si>
  <si>
    <t>Consommables et achats divers</t>
  </si>
  <si>
    <t>Polycopiés</t>
  </si>
  <si>
    <t>Repas restaurant (participants + 2)</t>
  </si>
  <si>
    <t>Montant repas reporté sur fiche de coût</t>
  </si>
  <si>
    <t>Nombre Participants saisi sur fiche de coût</t>
  </si>
  <si>
    <t>Moyens</t>
  </si>
  <si>
    <r>
      <t xml:space="preserve">Salles et outils pédagogiques </t>
    </r>
    <r>
      <rPr>
        <sz val="11"/>
        <color rgb="FFFF0000"/>
        <rFont val="Calibri"/>
        <family val="2"/>
        <scheme val="minor"/>
      </rPr>
      <t>(à saisir dans onglet tarifs instal)</t>
    </r>
  </si>
  <si>
    <t>Pochettes ou boîtes</t>
  </si>
  <si>
    <t>Polycopiés (100 pages par participant)</t>
  </si>
  <si>
    <t>Montant reporté sur fiche de coût</t>
  </si>
  <si>
    <t xml:space="preserve">Supports de formation (livres, CD, clés USB, tablettes…) </t>
  </si>
  <si>
    <t>Repas et pauses cafés</t>
  </si>
  <si>
    <t>Autre support de formation</t>
  </si>
  <si>
    <r>
      <t xml:space="preserve">Frais variables           </t>
    </r>
    <r>
      <rPr>
        <i/>
        <sz val="11"/>
        <color rgb="FFFF0000"/>
        <rFont val="Calibri"/>
        <family val="2"/>
        <scheme val="minor"/>
      </rPr>
      <t xml:space="preserve">(à saisir dans onglet tarifs frais variables)  </t>
    </r>
  </si>
  <si>
    <t xml:space="preserve">Frais de déplacement </t>
  </si>
  <si>
    <t>km</t>
  </si>
  <si>
    <t xml:space="preserve">Hébergement </t>
  </si>
  <si>
    <t>nuitée</t>
  </si>
  <si>
    <t xml:space="preserve">Restauration soir </t>
  </si>
  <si>
    <t>EUR</t>
  </si>
  <si>
    <t xml:space="preserve">Restauration midi </t>
  </si>
  <si>
    <t>(aide pour le chiffrage : barème CEA)</t>
  </si>
  <si>
    <t>Province</t>
  </si>
  <si>
    <t>Région parisienne</t>
  </si>
  <si>
    <t>Type de frais</t>
  </si>
  <si>
    <t>** Voir aide pour calcul des frais de déplacement sur l'onglet éponyme</t>
  </si>
  <si>
    <t>Participation aux jurys (sélection, soutenance, VAE)</t>
  </si>
  <si>
    <t>Suivi des évaluations fournies par les participants</t>
  </si>
  <si>
    <t>Evaluation des acquis et évaluation à froid</t>
  </si>
  <si>
    <t xml:space="preserve">Audits exploitants - Temps passé </t>
  </si>
  <si>
    <t xml:space="preserve">Audits exploitants - Frais d'audit </t>
  </si>
  <si>
    <t>Accompagnement pour la VAE</t>
  </si>
  <si>
    <t>Validation / Evaluation / Audits</t>
  </si>
  <si>
    <r>
      <t xml:space="preserve">Frais de déplacement
**
</t>
    </r>
    <r>
      <rPr>
        <b/>
        <sz val="11"/>
        <color theme="1"/>
        <rFont val="Calibri"/>
        <family val="2"/>
        <scheme val="minor"/>
      </rPr>
      <t>En €</t>
    </r>
  </si>
  <si>
    <t>Quote-part annuelle d'amortissement de la phase de conception</t>
  </si>
  <si>
    <t>Phase de conception - (moyens totaux pour toutes les sessions)</t>
  </si>
  <si>
    <t>Phase de réalisation (moyens de réalisation d'une seule session)</t>
  </si>
  <si>
    <t>Nombre de sessions prévues par an</t>
  </si>
  <si>
    <t>Montant de la phase de conception par session</t>
  </si>
  <si>
    <t>Coût total de la session / promo hors aléas (quote-part phase de conception + phase de réalisation)</t>
  </si>
  <si>
    <t>Code IRIS de la formation (si existant, sinon ne rien indiquer)</t>
  </si>
  <si>
    <t>Unité INSTN (menu déroulant)***</t>
  </si>
  <si>
    <t>Date de création de la formation (JJ/MM/AAAA)</t>
  </si>
  <si>
    <t>Dont part variable</t>
  </si>
  <si>
    <t>Dont part fixe</t>
  </si>
  <si>
    <t>CA pour nombre participants minimum</t>
  </si>
  <si>
    <t>Coût T1 pour participants minimum</t>
  </si>
  <si>
    <t>Taux de marge pour prix de vente hors CEA préconisé</t>
  </si>
  <si>
    <r>
      <rPr>
        <b/>
        <i/>
        <sz val="11"/>
        <color theme="1"/>
        <rFont val="Calibri"/>
        <family val="2"/>
        <scheme val="minor"/>
      </rPr>
      <t>Coût environné T2</t>
    </r>
    <r>
      <rPr>
        <i/>
        <sz val="11"/>
        <color theme="1"/>
        <rFont val="Calibri"/>
        <family val="2"/>
        <scheme val="minor"/>
      </rPr>
      <t xml:space="preserve">
(T1 + CID INSTN)</t>
    </r>
  </si>
  <si>
    <t>A saisir</t>
  </si>
  <si>
    <t>Durée de la session en jours (pour formation continue)</t>
  </si>
  <si>
    <t>Nom du responsable pédagogique</t>
  </si>
  <si>
    <t>Etranger</t>
  </si>
  <si>
    <t>modifier si nécessaire</t>
  </si>
  <si>
    <t>Durée d'amortissement de la phase de conception en années (durée recommandée : 3 ans pour FC INTER, 1 an pour FC INTRA, 5 ans pour FD ou certification, 0 pour exclusion de la conception du calcul du tarif par participant)</t>
  </si>
  <si>
    <t>Libellé de la formation ou de la prestation</t>
  </si>
  <si>
    <t>Libellé libre phase de conception à saisir si besoin</t>
  </si>
  <si>
    <t>Libellé libre frais variable à saisir si besoin (onglet frais var)</t>
  </si>
  <si>
    <t>Saisie libre</t>
  </si>
  <si>
    <t>Libellé libre phase de réalisation à saisir si besoin</t>
  </si>
  <si>
    <t>Coût complet CEA</t>
  </si>
  <si>
    <t>Coût direct INSTN</t>
  </si>
  <si>
    <t>Coût complet INSTN pour information</t>
  </si>
  <si>
    <t>Prix de vente définitif client CEA fixé</t>
  </si>
  <si>
    <r>
      <t xml:space="preserve">Supports de formation (livres, CD, clés USB, tablettes…) 
</t>
    </r>
    <r>
      <rPr>
        <i/>
        <sz val="11"/>
        <color rgb="FFFF0000"/>
        <rFont val="Calibri"/>
        <family val="2"/>
        <scheme val="minor"/>
      </rPr>
      <t>(prix unitaire à corriger si besoin)</t>
    </r>
  </si>
  <si>
    <t>Montant total de conception à facturer</t>
  </si>
  <si>
    <t>Soit montant de conception par jour</t>
  </si>
  <si>
    <t>Soit montant de conception par participant</t>
  </si>
  <si>
    <t>Soit conception par jour et par participant</t>
  </si>
  <si>
    <t>En cas d'exclusion du coût de conception des chiffrages ci-dessus (ie. si durée amo conception choisie = 0) :</t>
  </si>
  <si>
    <t>Coût des installations</t>
  </si>
  <si>
    <t>Coût HT</t>
  </si>
  <si>
    <t xml:space="preserve">Coût </t>
  </si>
  <si>
    <t>Année du chiffrage</t>
  </si>
  <si>
    <t>Prix de vente définitif client externe fixé</t>
  </si>
  <si>
    <t>En € courants</t>
  </si>
  <si>
    <t>Coefficient de dérive annuelle des coûts de réalisation</t>
  </si>
  <si>
    <t>Réingénierie ou révision de la conception</t>
  </si>
  <si>
    <t>PROGRAMME</t>
  </si>
  <si>
    <t>ORDRE STAT</t>
  </si>
  <si>
    <t>ING - Ingénieur spécialisé en Génie atomique (GA)</t>
  </si>
  <si>
    <t>Réacteurs nucléaires</t>
  </si>
  <si>
    <t>FC</t>
  </si>
  <si>
    <t>Filière réacteurs à eau sous pression (REP)</t>
  </si>
  <si>
    <t>École du sodium et des métaux liquides - Assainissement et démantèlement</t>
  </si>
  <si>
    <t>École du sodium et des métaux liquides - Exploitation</t>
  </si>
  <si>
    <t>Systèmes du futur</t>
  </si>
  <si>
    <t>Cycle du combustible</t>
  </si>
  <si>
    <t>M2 - Chimie séparative, matériaux et procédés : applications au cycle du combustible nucléaire (CSMP)</t>
  </si>
  <si>
    <t>M2 - Procédés, énergie, environnement (PEE)</t>
  </si>
  <si>
    <t>Surveillance des installations nucléaires et de l'environnement</t>
  </si>
  <si>
    <t>Assainissement</t>
  </si>
  <si>
    <t>Démantèlement</t>
  </si>
  <si>
    <t>LP - Métiers du DEM, du désamiantage, de la dépollution des déchets (L3D)</t>
  </si>
  <si>
    <t>Gestion des déchets</t>
  </si>
  <si>
    <t>Détection et mesures</t>
  </si>
  <si>
    <t>M2 - Instrumentation des moyens d'essai (IME)</t>
  </si>
  <si>
    <t>LP - Techniques physiques des énergies (TPE)</t>
  </si>
  <si>
    <t>Réacteurs expérimentaux</t>
  </si>
  <si>
    <t>Statistiques appliquées aux mesures</t>
  </si>
  <si>
    <t>Exploitation et maintenance nucléaire</t>
  </si>
  <si>
    <t>ING - Ingénieur en Génie des installations nucléaires (GIN)</t>
  </si>
  <si>
    <t>Formations communes aux intervenants du nucléaire</t>
  </si>
  <si>
    <t>Gestion des matières nucléaires</t>
  </si>
  <si>
    <t>Impacts environnementaux des activités industrielles</t>
  </si>
  <si>
    <t>Professionnels de la sûreté nucléaire</t>
  </si>
  <si>
    <t>Équipements de protection individuelle</t>
  </si>
  <si>
    <t>Sûreté des personnels des installations nucléaires</t>
  </si>
  <si>
    <t>M2 – FedSPF (SFP + GI + PPF)</t>
  </si>
  <si>
    <t>Cours IFCEN</t>
  </si>
  <si>
    <t>M2 - Ingénierie nucléaire de Valence (ADIN + GEDERA + SN)</t>
  </si>
  <si>
    <t>Applications cliniques de l'imagerie</t>
  </si>
  <si>
    <t>DESC de radiopharmacie et de radiobiologie</t>
  </si>
  <si>
    <t>Diplôme d'études spécialisées en médecine nucléaire (DESMN)</t>
  </si>
  <si>
    <t>Diplôme de qualification en physique radiologique et médicale (DQPRM)</t>
  </si>
  <si>
    <t>M2 - Radiophysique médicale (RM)</t>
  </si>
  <si>
    <t>Radiopharmacie</t>
  </si>
  <si>
    <t>Radiothérapie</t>
  </si>
  <si>
    <t>M2 - Ingénierie et chimie des biomolécules (ICBM)</t>
  </si>
  <si>
    <t>M2 - Imagerie biomédicale (IM)</t>
  </si>
  <si>
    <t>Imagerie biomédicale</t>
  </si>
  <si>
    <t>M2 - Droit des énergies</t>
  </si>
  <si>
    <t>M2 - Économie de l'énergie</t>
  </si>
  <si>
    <t>Management de projets énergétiques bas carbone</t>
  </si>
  <si>
    <t>Nouvelles technologies de l'énergie et stockage</t>
  </si>
  <si>
    <t>Technico-économie des systèmes énergétiques</t>
  </si>
  <si>
    <t>CAMARI</t>
  </si>
  <si>
    <t>LP – Métiers de l’industrie – Gestion de la production industrielle - Parcours maintenance en milieu nucléaire –Parcours agedden (AGEDDEN)</t>
  </si>
  <si>
    <t>M2 - Radioprotection - European master in radiation protection (EMRP)</t>
  </si>
  <si>
    <t>Fondamentaux de la radioprotection</t>
  </si>
  <si>
    <t>PCR</t>
  </si>
  <si>
    <t>Professionnels de la radioprotection</t>
  </si>
  <si>
    <t>Radioprotection des personnels</t>
  </si>
  <si>
    <t>Transport de matières radioactives</t>
  </si>
  <si>
    <t>M2 - Analyse, modélisation, simulation (AMS)</t>
  </si>
  <si>
    <t>M2 - Calcul haute performance, simulation (CHPS)</t>
  </si>
  <si>
    <t>M2 - Noyaux, particules, astroparticules et cosmologie (NPAC)</t>
  </si>
  <si>
    <t>Environnement de travail</t>
  </si>
  <si>
    <t>M2 - Conception, modélisation et architecture des systèmes industriels complexes (COMASIC)</t>
  </si>
  <si>
    <t>M2 – Parcours Master Nano (NanoB + NanoC + NanoP)</t>
  </si>
  <si>
    <t>M2 - Systèmes embarqués et traitement de l'information (SETI)</t>
  </si>
  <si>
    <t>Intégration : du matériau à l'objet</t>
  </si>
  <si>
    <t>Technologies et applications</t>
  </si>
  <si>
    <t>Caractérisation des matériaux</t>
  </si>
  <si>
    <t>Fabrication additive</t>
  </si>
  <si>
    <t>M2 - Science et génie des matériaux (SGM) : parcours "Materials Science for nuclear energy (MaNuEn)</t>
  </si>
  <si>
    <t>M2 - Matériaux avancés pour l'innovation (MAvInov)</t>
  </si>
  <si>
    <t>M2 - Matériaux pour l'énergie et les transports (MET)</t>
  </si>
  <si>
    <t>ING - Ingénieur en Sciences et technologies nucléaires (STN)</t>
  </si>
  <si>
    <t>Matériaux pour les nouvelles technologies de l'énergie</t>
  </si>
  <si>
    <t>Matériaux pour le nucléaire</t>
  </si>
  <si>
    <t>20 - Emplois scientifiques et formation par la recherche</t>
  </si>
  <si>
    <t>M2 - Management de la technologie et de l'innovation (MTI)</t>
  </si>
  <si>
    <t>FD</t>
  </si>
  <si>
    <t>cf. onglet "table OS"</t>
  </si>
  <si>
    <t>Code couleurs de la fiche  de coûts :</t>
  </si>
  <si>
    <t>Code couleurs des onglets :</t>
  </si>
  <si>
    <t>cellule sans couleur --&gt; saisie possible</t>
  </si>
  <si>
    <t>cellule grise  --&gt; ne pas utiliser</t>
  </si>
  <si>
    <t>Grande zones de la fiche de coûts</t>
  </si>
  <si>
    <t>En haut à droite : calcul automatique des informations "vente"</t>
  </si>
  <si>
    <t>Au milieu en  haut : calcul des coûts de conception</t>
  </si>
  <si>
    <t>Au milieu en  bas : calcul des coûts de réalisation</t>
  </si>
  <si>
    <t>En bas à droite : calcul des tarifs pluriannuels (exclus de la zone d'impression par défaut)</t>
  </si>
  <si>
    <t>En haut à gauche : paramètres généraux de la fiche</t>
  </si>
  <si>
    <t>Onglets annexes de la fiche de coûts</t>
  </si>
  <si>
    <t>Coûts frais variables</t>
  </si>
  <si>
    <t>Coûts frais de déplacement</t>
  </si>
  <si>
    <t>Coût</t>
  </si>
  <si>
    <t>Coût unitaire HT</t>
  </si>
  <si>
    <t>Repas - coût unitaire</t>
  </si>
  <si>
    <t>Supports de formation - coût unitaire</t>
  </si>
  <si>
    <t>Coûts installations --&gt; à utiliser pour faire remonter ces coûts dans la fiche de coûts</t>
  </si>
  <si>
    <t>Coûts frais variables --&gt; à utiliser pour faire remonter ces coûts dans la fiche de coûts</t>
  </si>
  <si>
    <r>
      <t xml:space="preserve">Coûts frais déplacements  --&gt; </t>
    </r>
    <r>
      <rPr>
        <sz val="11"/>
        <color rgb="FFFF0000"/>
        <rFont val="Calibri"/>
        <family val="2"/>
        <scheme val="minor"/>
      </rPr>
      <t>aide au chiffrage : attention les montants ne remontent pas automatiquement</t>
    </r>
    <r>
      <rPr>
        <sz val="11"/>
        <color theme="1"/>
        <rFont val="Calibri"/>
        <family val="2"/>
        <scheme val="minor"/>
      </rPr>
      <t xml:space="preserve"> et sont à ressaisir dans la fiche de coûts</t>
    </r>
  </si>
  <si>
    <t>LOCTHREACNUC</t>
  </si>
  <si>
    <t>LOCTHREACREP</t>
  </si>
  <si>
    <t>LOCTHSODASDM</t>
  </si>
  <si>
    <t>LOCTHSODEXPL</t>
  </si>
  <si>
    <t>LOCTHSYSTFUT</t>
  </si>
  <si>
    <t>LOCTHCYCOMBU</t>
  </si>
  <si>
    <t>LOCTHSURVINE</t>
  </si>
  <si>
    <t>LOCTHASSAINT</t>
  </si>
  <si>
    <t>LOCTHDEMANTT</t>
  </si>
  <si>
    <t>LOCTHGESDECH</t>
  </si>
  <si>
    <t>LOCTHDETECME</t>
  </si>
  <si>
    <t>LOCTHREACEXP</t>
  </si>
  <si>
    <t>LOCTHSTATMES</t>
  </si>
  <si>
    <t>LOCTHEXPMAIN</t>
  </si>
  <si>
    <t>LOCTHFORMCOM</t>
  </si>
  <si>
    <t>LOCTHGESTIMN</t>
  </si>
  <si>
    <t>LOCTHIMPACTS</t>
  </si>
  <si>
    <t>LOCTHPREVRIS</t>
  </si>
  <si>
    <t>LOCTHPROSURN</t>
  </si>
  <si>
    <t>LOCTHPROTECI</t>
  </si>
  <si>
    <t>LOCTHSECCONV</t>
  </si>
  <si>
    <t>LOCTHSURPEIN</t>
  </si>
  <si>
    <t>LOCTHAPPCLIN</t>
  </si>
  <si>
    <t>LOCTHRADIOPH</t>
  </si>
  <si>
    <t>LOCTHRADIOTH</t>
  </si>
  <si>
    <t>LOCTHIMAGBIO</t>
  </si>
  <si>
    <t>LOCTHMGTPROJ</t>
  </si>
  <si>
    <t>LOCTHNTESTOC</t>
  </si>
  <si>
    <t>LOCTHTECHECO</t>
  </si>
  <si>
    <t>LOCTHCAMARIX</t>
  </si>
  <si>
    <t>LOCTHFORMPCR</t>
  </si>
  <si>
    <t>LOCTHPRORADI</t>
  </si>
  <si>
    <t>LOCTHRADPERS</t>
  </si>
  <si>
    <t>LOCTHTRANSPO</t>
  </si>
  <si>
    <t>LOCTHOUTINUM</t>
  </si>
  <si>
    <t>LOCTHENVTRAV</t>
  </si>
  <si>
    <t>LOCTHINTEGRA</t>
  </si>
  <si>
    <t>LOCTHTECHAPP</t>
  </si>
  <si>
    <t>LOCTHCARAMAT</t>
  </si>
  <si>
    <t>LOCTHFABRADD</t>
  </si>
  <si>
    <t>LOCTHMATXNTE</t>
  </si>
  <si>
    <t>LOCTHMATXNUC</t>
  </si>
  <si>
    <t>LOCTHFCSFRES</t>
  </si>
  <si>
    <t>LOCTHSUPFORM</t>
  </si>
  <si>
    <t>LOCFORMDGAXX</t>
  </si>
  <si>
    <t>LOCFORMDGPNX</t>
  </si>
  <si>
    <t>LOCFORMDCSMP</t>
  </si>
  <si>
    <t>LOCFORMDMNEX</t>
  </si>
  <si>
    <t>LOCFORMDPEEX</t>
  </si>
  <si>
    <t>LOCFORMDL3DX</t>
  </si>
  <si>
    <t>LOCFORMDIMEX</t>
  </si>
  <si>
    <t>LOCFORMDTPEX</t>
  </si>
  <si>
    <t>LOCFORMDGINX</t>
  </si>
  <si>
    <t>LOCFORMDSPFX</t>
  </si>
  <si>
    <t>LOCFORMDIFCE</t>
  </si>
  <si>
    <t>LOCFORMDINSU</t>
  </si>
  <si>
    <t>LOCFORMDVALE</t>
  </si>
  <si>
    <t>LOCFORMDDESC</t>
  </si>
  <si>
    <t>LOCFORMDESMN</t>
  </si>
  <si>
    <t>LOCFORMDQPRM</t>
  </si>
  <si>
    <t>LOCFORMDRMXX</t>
  </si>
  <si>
    <t>LOCFORMDICBM</t>
  </si>
  <si>
    <t>LOCFORMDIMXX</t>
  </si>
  <si>
    <t>LOCFORMDDEXX</t>
  </si>
  <si>
    <t>LOCFORMDAGED</t>
  </si>
  <si>
    <t>LOCFORMDCRIA</t>
  </si>
  <si>
    <t>LOCFORMDEMRP</t>
  </si>
  <si>
    <t>LOCFORMDTTRX</t>
  </si>
  <si>
    <t>LOCTHFDTXRAD</t>
  </si>
  <si>
    <t>LOCFORMDAMSX</t>
  </si>
  <si>
    <t>LOCFORMDCHPS</t>
  </si>
  <si>
    <t>LOCFORMDNPAC</t>
  </si>
  <si>
    <t>LOCFORMDCOMA</t>
  </si>
  <si>
    <t>LOCFORMDNANO</t>
  </si>
  <si>
    <t>LOCFORMDSETI</t>
  </si>
  <si>
    <t>LOCFORMDMANU</t>
  </si>
  <si>
    <t>LOCFORMDMAVI</t>
  </si>
  <si>
    <t>LOCFORMDMETX</t>
  </si>
  <si>
    <t>LOCFORMDSTNX</t>
  </si>
  <si>
    <t>LOCFORMDMTIX</t>
  </si>
  <si>
    <t>LOCFORMDECEX</t>
  </si>
  <si>
    <t>Taux de marge de 10% à</t>
  </si>
  <si>
    <t>Nombre de pauses par participant sur l'ensemble de la formation</t>
  </si>
  <si>
    <t>Nombre de supports ou de matériel par participant</t>
  </si>
  <si>
    <t>Autre support de formation (préciser prix HT)</t>
  </si>
  <si>
    <t>Frais avion</t>
  </si>
  <si>
    <t>Frais train</t>
  </si>
  <si>
    <t>Frais location voiture</t>
  </si>
  <si>
    <t>Nota : les repas des intervenants CEA et participants CEA (dont INSTN) ne doivent pas être pris en charge et restent à la charge des intéressés</t>
  </si>
  <si>
    <t>MODE D'EMPLOI DE LA FICHE DE COÛTS INSTN</t>
  </si>
  <si>
    <t>En bas à gauche : paramètres techniques de la fiche de coûts (exclus de la zone d'impression par défaut)</t>
  </si>
  <si>
    <t>Vacataire hors CEA cours - TD - TP</t>
  </si>
  <si>
    <t>Vacataire CEA cours - TD - TP</t>
  </si>
  <si>
    <t>Ouverture LMS pour une session</t>
  </si>
  <si>
    <t>Menu déroulant</t>
  </si>
  <si>
    <t>Diffusion</t>
  </si>
  <si>
    <t>Premium</t>
  </si>
  <si>
    <t>Première ouverture</t>
  </si>
  <si>
    <t>Coût par 
apprenant</t>
  </si>
  <si>
    <t>Autonome</t>
  </si>
  <si>
    <t>Standard</t>
  </si>
  <si>
    <t>Suivi</t>
  </si>
  <si>
    <t>Sur le fonctionnement technique de Instart.</t>
  </si>
  <si>
    <t xml:space="preserve">Sur le bon fonctionnement et déroulement de la formation sur INSTART à chaque ouverture de module. Fourniture d'un rapport sur le suivi et l’évaluation des apprenants. </t>
  </si>
  <si>
    <r>
      <t xml:space="preserve">TP réacteur, chantier école, labo
 </t>
    </r>
    <r>
      <rPr>
        <sz val="11"/>
        <color rgb="FFFF0000"/>
        <rFont val="Calibri"/>
        <family val="2"/>
        <scheme val="minor"/>
      </rPr>
      <t>(à saisir dans onglet tarifs instal)</t>
    </r>
  </si>
  <si>
    <r>
      <t xml:space="preserve">LMS : Ouverture / Diffusion / Suivi
</t>
    </r>
    <r>
      <rPr>
        <sz val="11"/>
        <color rgb="FFFF0000"/>
        <rFont val="Calibri"/>
        <family val="2"/>
        <scheme val="minor"/>
      </rPr>
      <t xml:space="preserve"> (à saisir dans onglet "numérique")</t>
    </r>
  </si>
  <si>
    <t>Durée totale partie numérique (min)</t>
  </si>
  <si>
    <t>Total</t>
  </si>
  <si>
    <t>Grille tarifaire utilisée pour les calculs</t>
  </si>
  <si>
    <t>Coût d'utilisation du LMS</t>
  </si>
  <si>
    <t>Conception numérique</t>
  </si>
  <si>
    <t>Ingénierie digitale interne INSTN</t>
  </si>
  <si>
    <t>Ingénierie digitale via prestataire</t>
  </si>
  <si>
    <t>Heures par session</t>
  </si>
  <si>
    <t>Coût T1
par session (€ HT)</t>
  </si>
  <si>
    <t>Ingénierie digitale</t>
  </si>
  <si>
    <t>En heures</t>
  </si>
  <si>
    <t>Ou à saisir manuellement si devis</t>
  </si>
  <si>
    <t>Définition des supports numériques à fabriquer à partir du cahier des charges</t>
  </si>
  <si>
    <t xml:space="preserve">Ingénierie digitale avec le client sur la base de ses instructions initiales. Réalisation d’un synopsis puis d’un storyboard. </t>
  </si>
  <si>
    <t>Fabrication de contenus vidéos au format standard.</t>
  </si>
  <si>
    <t>Fabrication de contenus vidéos au format haut de gamme. Création des activités à partir de notre LMS.</t>
  </si>
  <si>
    <t xml:space="preserve">Intégration des contenus réalisée par le client </t>
  </si>
  <si>
    <t>Aide à l'intégration des contenus en ligne par le client. Fourniture de pages canevas. Vérification des quiz.</t>
  </si>
  <si>
    <t>Création</t>
  </si>
  <si>
    <t>Intégration</t>
  </si>
  <si>
    <t>Conception cours numérique</t>
  </si>
  <si>
    <t xml:space="preserve">Conseils sur la digitalisation </t>
  </si>
  <si>
    <t>Estimation sur la base de 5 heures de travail pour concevoir un module numérique de 40 min correspondant à 1h de présentiel</t>
  </si>
  <si>
    <t>Les données de cette fiche remontent automatiquement dans la fiche de coûts</t>
  </si>
  <si>
    <t>dans la rubrique "Conception numérique"</t>
  </si>
  <si>
    <t>dans la rubrique "Phase de Réalisation / Moyens / LMS"</t>
  </si>
  <si>
    <t>Création des contenus INSTN</t>
  </si>
  <si>
    <t>Création via prestataire</t>
  </si>
  <si>
    <t>Choisir Option Voix</t>
  </si>
  <si>
    <t>Choisir Autre Option</t>
  </si>
  <si>
    <t>Illustrations</t>
  </si>
  <si>
    <t>Iconographie</t>
  </si>
  <si>
    <t>Voix off (synthétique)</t>
  </si>
  <si>
    <t>Voix off (humaine)</t>
  </si>
  <si>
    <t>Voix off (acteurs)</t>
  </si>
  <si>
    <t>Sous-titres</t>
  </si>
  <si>
    <t>Options de création</t>
  </si>
  <si>
    <t>Intégration en ligne INSTN</t>
  </si>
  <si>
    <t>Intégration complète des contenus au LMS.</t>
  </si>
  <si>
    <r>
      <rPr>
        <sz val="11"/>
        <rFont val="Calibri"/>
        <family val="2"/>
        <scheme val="minor"/>
      </rPr>
      <t>Conception numérique</t>
    </r>
    <r>
      <rPr>
        <i/>
        <sz val="11"/>
        <color rgb="FFFF0000"/>
        <rFont val="Calibri"/>
        <family val="2"/>
        <scheme val="minor"/>
      </rPr>
      <t xml:space="preserve"> (à saisir dans onglet éponyme)</t>
    </r>
  </si>
  <si>
    <t>Dont MO INSTN</t>
  </si>
  <si>
    <t>Total MO INSTN</t>
  </si>
  <si>
    <t>Dont MO CEA</t>
  </si>
  <si>
    <t>Dont MO hors CEA</t>
  </si>
  <si>
    <t>Dont prestations</t>
  </si>
  <si>
    <t>Autres postes</t>
  </si>
  <si>
    <t>Total prestations</t>
  </si>
  <si>
    <t>A repréciser manuellement ici</t>
  </si>
  <si>
    <t>Nombre d'apprenants estimé</t>
  </si>
  <si>
    <t>Remonte de la fiche de coûts</t>
  </si>
  <si>
    <t>Sur le bon fonctionnement et déroulement de la formation sur INSTART à chaque ouverture de module. Fourniture de fichiers excel de suivi et d’évaluation.</t>
  </si>
  <si>
    <t>En heures
réalisées par presta</t>
  </si>
  <si>
    <t>En heures  réalisées
Pour CEA</t>
  </si>
  <si>
    <t>Code OS de la formation (menu déroulant onglet "table OS")</t>
  </si>
  <si>
    <t>THEMATIQUE</t>
  </si>
  <si>
    <t>01 -TRANSITION ENERGETIQUE</t>
  </si>
  <si>
    <t>01- Enjeux des systèmes énergétiques</t>
  </si>
  <si>
    <t>02 - Réacteurs nucléaires de puissance</t>
  </si>
  <si>
    <t>03 - Réacteurs nucléaires de recherche</t>
  </si>
  <si>
    <t>04 - Exploitation et maintenance des installations nucléaires</t>
  </si>
  <si>
    <t>Prévention des risques dans les installations</t>
  </si>
  <si>
    <t xml:space="preserve">05 - Cycle du combustible nucléaire </t>
  </si>
  <si>
    <t>06 - Assainissement et démantèlement des installations nucléaires</t>
  </si>
  <si>
    <t>07 - Réacteurs du futur</t>
  </si>
  <si>
    <t>08 -  Nouvelles technologies pour l'énergie</t>
  </si>
  <si>
    <t>02 -TECHNOLOGIES POUR LA SANTE</t>
  </si>
  <si>
    <t>09 - Technologies pour la santé</t>
  </si>
  <si>
    <t>03 -MATERIAUX</t>
  </si>
  <si>
    <t>10 - Matériaux : de procédés aux applications</t>
  </si>
  <si>
    <t>04 -TRANSITION NUMERIQUE</t>
  </si>
  <si>
    <t>11 - Supports technologiques : microélectronique, ordinateur quantique, …</t>
  </si>
  <si>
    <t>12 - Usage du numérique</t>
  </si>
  <si>
    <t>05 - MAITRISE DES RISQUES</t>
  </si>
  <si>
    <t>13 - Radioprotection et radiobiologie</t>
  </si>
  <si>
    <t>14 - Sureté et sécurité</t>
  </si>
  <si>
    <t>Sécurité conventionnelle</t>
  </si>
  <si>
    <t>15 - Instrumentation et mesures : NRBC, environnement</t>
  </si>
  <si>
    <t>07 -THEMATIQUES TRANSVERSALES</t>
  </si>
  <si>
    <t>Emplois scientifiques et formation par la recherche</t>
  </si>
  <si>
    <t>21 - Support aux formations</t>
  </si>
  <si>
    <t>Support aux formations</t>
  </si>
  <si>
    <t>M2 Pro - Ingénierie pour le nucléaire de Sorbonne Université</t>
  </si>
  <si>
    <t>Travaux Pratiques de Métallurgie (Master EPF)</t>
  </si>
  <si>
    <t>LOCFORMDEPFX</t>
  </si>
  <si>
    <t>BAC PRO Techniques d'Interventions sur Installations Nucléaires</t>
  </si>
  <si>
    <t>LOCFORMDTINX</t>
  </si>
  <si>
    <t>M2 – Master Nuclear Energy MNE (NRPE + DWM + FC + NPD + O + M1/Ch + M1/Ph)</t>
  </si>
  <si>
    <t>M2 - Management de l'assainissement nucléaire et de la valorisation des sites industriels (ANVSI)</t>
  </si>
  <si>
    <t>LOCFORMDANVS</t>
  </si>
  <si>
    <t>BTS - Environnement Nucléaire par alternance (Bagnols-sur-Cèze).</t>
  </si>
  <si>
    <t>LOCFORMDENVI</t>
  </si>
  <si>
    <t>LP Assnt-Gestion déchets-Dém nucléaire</t>
  </si>
  <si>
    <t>LOCFORMDLAGX</t>
  </si>
  <si>
    <t>Titre de technicien en radioprotection (TTR)</t>
  </si>
  <si>
    <t>Sans thématique</t>
  </si>
  <si>
    <t>FD/FC</t>
  </si>
  <si>
    <t>TH01</t>
  </si>
  <si>
    <t>TH02</t>
  </si>
  <si>
    <t>TH03</t>
  </si>
  <si>
    <t>TH04</t>
  </si>
  <si>
    <t>TH05</t>
  </si>
  <si>
    <t>TH06</t>
  </si>
  <si>
    <t>TH07</t>
  </si>
  <si>
    <t>TH08</t>
  </si>
  <si>
    <t>TH09</t>
  </si>
  <si>
    <t>TH10</t>
  </si>
  <si>
    <t>TH11</t>
  </si>
  <si>
    <t>TH12</t>
  </si>
  <si>
    <t>TH13</t>
  </si>
  <si>
    <t>TH14</t>
  </si>
  <si>
    <t>TH15</t>
  </si>
  <si>
    <t>TH20</t>
  </si>
  <si>
    <t>TH21</t>
  </si>
  <si>
    <r>
      <t xml:space="preserve">onglet vert : </t>
    </r>
    <r>
      <rPr>
        <b/>
        <i/>
        <sz val="11"/>
        <color rgb="FFFF0000"/>
        <rFont val="Calibri"/>
        <family val="2"/>
        <scheme val="minor"/>
      </rPr>
      <t>fiche de coût référence</t>
    </r>
    <r>
      <rPr>
        <b/>
        <i/>
        <sz val="11"/>
        <color theme="1"/>
        <rFont val="Calibri"/>
        <family val="2"/>
        <scheme val="minor"/>
      </rPr>
      <t xml:space="preserve"> pour les formations/prestations "mono-unité". Utiliser plusieurs fiches</t>
    </r>
    <r>
      <rPr>
        <i/>
        <sz val="11"/>
        <color theme="1"/>
        <rFont val="Calibri"/>
        <family val="2"/>
        <scheme val="minor"/>
      </rPr>
      <t xml:space="preserve"> si formation/prestation "multi-unités"</t>
    </r>
  </si>
  <si>
    <t>onglets bleus : coûts variables à saisir remontant sur la fiche de coûts</t>
  </si>
  <si>
    <t>onglets orange : coûts du numérique à saisir remontant sur la fiche de coûts</t>
  </si>
  <si>
    <t>cellule jaune --&gt; calculée automatiquement</t>
  </si>
  <si>
    <t>LMS et conception numérique --&gt; à utiliser pour faire remonter ces coûts dans la fiche de coûts</t>
  </si>
  <si>
    <t>Studio vidéo de prise de vue SANS montage</t>
  </si>
  <si>
    <t>Enregistrement de la conférence et fourniture sur clé USB</t>
  </si>
  <si>
    <t>Heure d'assistance diverse (régie, réception colis) de 8h30 à 17h</t>
  </si>
  <si>
    <t>Test d'équipement préalable : 1 heure gratuite puis facturé à l'heure</t>
  </si>
  <si>
    <t>Transmission en direct (Streaming)</t>
  </si>
  <si>
    <t>Incrustation vidéo sur l'écran (traducteur langage des signes, objet filmé sur scène etc.)</t>
  </si>
  <si>
    <t xml:space="preserve">Exposition sur support mural pour 40 posters maximum selon le format </t>
  </si>
  <si>
    <t>heure</t>
  </si>
  <si>
    <t>onglets sans couleurs : mode d'emploi + table de référence des programmes/thématiques/OS/thèmes FC ou libellés FD</t>
  </si>
  <si>
    <t>Détail de la grille tarifaire utilisée en bas de cette feuille (zone non imprimée)</t>
  </si>
  <si>
    <t>A saisir manuellement ici</t>
  </si>
  <si>
    <t>Sélectionner dans menu déroulant</t>
  </si>
  <si>
    <t>Lien vers la note</t>
  </si>
  <si>
    <t>Détail des tarifs applicables pour la location des espaces et services de l'INSTN Saclay :</t>
  </si>
  <si>
    <t>Lien vers la dernière version de la nomenclature budgétaire INSTN</t>
  </si>
  <si>
    <t>Lien vers la GED P10</t>
  </si>
  <si>
    <t>Lien vers Gespri (menu "Fiche Coûts")</t>
  </si>
  <si>
    <r>
      <rPr>
        <b/>
        <u/>
        <sz val="11"/>
        <color theme="1"/>
        <rFont val="Calibri"/>
        <family val="2"/>
        <scheme val="minor"/>
      </rPr>
      <t>Liens vers la dernière version de la "fiche de coûts</t>
    </r>
    <r>
      <rPr>
        <b/>
        <sz val="11"/>
        <color theme="1"/>
        <rFont val="Calibri"/>
        <family val="2"/>
        <scheme val="minor"/>
      </rPr>
      <t xml:space="preserve">" : </t>
    </r>
  </si>
  <si>
    <r>
      <t xml:space="preserve">Prix de vente CEA
</t>
    </r>
    <r>
      <rPr>
        <b/>
        <sz val="11"/>
        <color rgb="FFFF0000"/>
        <rFont val="Calibri"/>
        <family val="2"/>
        <scheme val="minor"/>
      </rPr>
      <t xml:space="preserve"> (INTER)</t>
    </r>
  </si>
  <si>
    <t>M2 - Génie des procédés, mention "génie des procédés et bioprocédés" (GPN)</t>
  </si>
  <si>
    <t>06 - MANAGEMENT DE PROJETS ET DE L'INNOVATION</t>
  </si>
  <si>
    <t>Nombre d'apprenants par session estimé</t>
  </si>
  <si>
    <t>Nombre de sessions par an estimé</t>
  </si>
  <si>
    <t>Deuxième ouverture</t>
  </si>
  <si>
    <t>Troisième ouverture</t>
  </si>
  <si>
    <t>Quatrième ouverture</t>
  </si>
  <si>
    <t>Cinquième ouverture</t>
  </si>
  <si>
    <t>Sixième ouverture</t>
  </si>
  <si>
    <t>Septième ouverture</t>
  </si>
  <si>
    <t>Ouverture</t>
  </si>
  <si>
    <t>Coût fixe cumulé</t>
  </si>
  <si>
    <t>Coût moyen par session (coût dégressif selon nombre de sessions)</t>
  </si>
  <si>
    <t>Huitième ouverture</t>
  </si>
  <si>
    <t>Au-delà 10 € supplémentaire par session</t>
  </si>
  <si>
    <t>Fabrication de vidéos synchronisée à un pptx fourni par le client ou ressources fournies directement par le client</t>
  </si>
  <si>
    <t>Nombre de participants prévu par session</t>
  </si>
  <si>
    <t>Type de prestation (menu déroulant)</t>
  </si>
  <si>
    <r>
      <rPr>
        <i/>
        <sz val="11"/>
        <rFont val="Calibri"/>
        <family val="2"/>
        <scheme val="minor"/>
      </rPr>
      <t>*** si plusieurs unités, saisir l'unité pilote</t>
    </r>
    <r>
      <rPr>
        <i/>
        <sz val="11"/>
        <color rgb="FFFF0000"/>
        <rFont val="Calibri"/>
        <family val="2"/>
        <scheme val="minor"/>
      </rPr>
      <t xml:space="preserve">
**** Exemples d'OS Spécifiques : LOCNUMERIQUE (numérique), LOCCONSEILXX (offre de services)…</t>
    </r>
  </si>
  <si>
    <t>Nombre prévu de participants sur la durée du projet</t>
  </si>
  <si>
    <t>Nombre total de sessions prévues sur la durée du projet</t>
  </si>
  <si>
    <t>CA total prévu pour le projet</t>
  </si>
  <si>
    <t>Marge totale prévue sur T1</t>
  </si>
  <si>
    <t>Montant par session hors aléas</t>
  </si>
  <si>
    <t>Montant par session avec aléas</t>
  </si>
  <si>
    <t>Montant par participant</t>
  </si>
  <si>
    <t>Montant par jour</t>
  </si>
  <si>
    <t>Montant par jour et par participant</t>
  </si>
  <si>
    <t>Données totales du projet</t>
  </si>
  <si>
    <t>Données pour une session</t>
  </si>
  <si>
    <t>Coût T1
Conception</t>
  </si>
  <si>
    <t>PROG01</t>
  </si>
  <si>
    <t>PROG02</t>
  </si>
  <si>
    <t>PROG03</t>
  </si>
  <si>
    <t>PROG04</t>
  </si>
  <si>
    <t>PROG05</t>
  </si>
  <si>
    <t>PROG06</t>
  </si>
  <si>
    <t>PROG07</t>
  </si>
  <si>
    <t>Aucune</t>
  </si>
  <si>
    <t>N° thématique INSTN (auto si OS renseigné)</t>
  </si>
  <si>
    <t>N° programme INSTN (auto si OS renseigné)</t>
  </si>
  <si>
    <t>THÈME FC ou FORMATION FD</t>
  </si>
  <si>
    <t>16 - Management de projets</t>
  </si>
  <si>
    <t>17 - Management de l'innovation</t>
  </si>
  <si>
    <t>Gestion des connaissances</t>
  </si>
  <si>
    <t>LOCTHGESCONN</t>
  </si>
  <si>
    <t>LOCTHINGDIGI</t>
  </si>
  <si>
    <t>Conception pédagogique</t>
  </si>
  <si>
    <t>LOCTHCONPEDA</t>
  </si>
  <si>
    <t>Gestion de l'innovation</t>
  </si>
  <si>
    <t>LOCTHGESINNO</t>
  </si>
  <si>
    <t>TH16</t>
  </si>
  <si>
    <t>TH17</t>
  </si>
  <si>
    <t>Cours magistraux et animations de TD / TP par prestations extérieures (Autoentrepreneurs, ANDRA,IRSN...)</t>
  </si>
  <si>
    <t>Cours magistraux et animations de TD / TP par vacataires IRIS ou personnel INSTN</t>
  </si>
  <si>
    <t>KMS/MOIS PARCOURUS A/R</t>
  </si>
  <si>
    <t>Catégories (puissance fiscale du véhicule)</t>
  </si>
  <si>
    <t>Kms parcourus</t>
  </si>
  <si>
    <t>≤ 4CV</t>
  </si>
  <si>
    <t>5 CV</t>
  </si>
  <si>
    <t>≥ 6CV</t>
  </si>
  <si>
    <t>Vélomoteur
(&lt; 125cm3)</t>
  </si>
  <si>
    <t>Motocyclette (&gt; 125cm3)</t>
  </si>
  <si>
    <t>1 à 1 000 kms/mois</t>
  </si>
  <si>
    <t>Au-delà de 1 000 kms/mois</t>
  </si>
  <si>
    <t>Indemnités kilométriques</t>
  </si>
  <si>
    <t xml:space="preserve">AIDE POUR CALCUL DES FRAIS KILOMETRIQUES </t>
  </si>
  <si>
    <t>Coûts frais déplacements  --&gt; aide au chiffrage : attention les montants ne remontent pas automatiquement et sont à ressaisir dans la fiche de coûts</t>
  </si>
  <si>
    <t>Prix de vente Contrat EUR standard</t>
  </si>
  <si>
    <t>(sinon valeur par défaut = T1 moyen INSTN)</t>
  </si>
  <si>
    <t>Choisir A1</t>
  </si>
  <si>
    <t>Choisir A2</t>
  </si>
  <si>
    <t>C3(&gt;749 points)</t>
  </si>
  <si>
    <t>NC2(&lt;420 points)</t>
  </si>
  <si>
    <t>NC1(&lt;300 points)</t>
  </si>
  <si>
    <t>C2(&lt;750 points)</t>
  </si>
  <si>
    <t>C1(&lt;600 points)</t>
  </si>
  <si>
    <t>Coût éligible contrat EUR standard</t>
  </si>
  <si>
    <t>Coût T1 +25% overheads hors sous-traitance et installations</t>
  </si>
  <si>
    <t>Choisir catégorie de personnel INSTN pour phase de réalisation :</t>
  </si>
  <si>
    <t>Choisir catégorie de personnel INSTN pour phase de conception :</t>
  </si>
  <si>
    <t>D16 : Saisir ici OS spécifique éventuel****</t>
  </si>
  <si>
    <t>Repas amélioré type Rotonde à Saclay (participants + 2)</t>
  </si>
  <si>
    <t xml:space="preserve">Année </t>
  </si>
  <si>
    <t>Date</t>
  </si>
  <si>
    <t>N° Version</t>
  </si>
  <si>
    <t>Modifications effectuées</t>
  </si>
  <si>
    <t>3.7</t>
  </si>
  <si>
    <t>3.8</t>
  </si>
  <si>
    <t>Mise à jour des taux horaires T1 moyens A1 et A2 de main d'œuvre CEA 2021</t>
  </si>
  <si>
    <t>Ajout d'un tarif contrat EUR standard
Ajout des taux horaires par catégorie de personnel INSTN T1 calculés par la DF
Prise en compte remarques du webinaire sur anomalies feuille (verrouillage cellules, couleurs dans onglet frais variables)</t>
  </si>
  <si>
    <t>3.9</t>
  </si>
  <si>
    <t xml:space="preserve">Ajout des audits CIFMD (pour les formations transport sous agrément ASN )dans les libellés des cellules B97 et B98 </t>
  </si>
  <si>
    <t>Audits CEFRI ou CIFMD - Temps passé</t>
  </si>
  <si>
    <t xml:space="preserve">Audits CEFRI ou CIFMD  - Frais d'audit </t>
  </si>
  <si>
    <r>
      <t>Aléas 10%</t>
    </r>
    <r>
      <rPr>
        <sz val="11"/>
        <rFont val="Calibri"/>
        <family val="2"/>
        <scheme val="minor"/>
      </rPr>
      <t xml:space="preserve"> </t>
    </r>
    <r>
      <rPr>
        <i/>
        <sz val="11"/>
        <rFont val="Calibri"/>
        <family val="2"/>
        <scheme val="minor"/>
      </rPr>
      <t>(sauf contrats EUR)</t>
    </r>
  </si>
  <si>
    <t>3.10</t>
  </si>
  <si>
    <t>Retrait de la prise en compte des aléas 10% pour le tarif contrat EUR
Ajout colonne tarif EUR dans tableau récapitulatif conception en G23</t>
  </si>
  <si>
    <r>
      <t xml:space="preserve">Réalisation de visites </t>
    </r>
    <r>
      <rPr>
        <sz val="11"/>
        <color rgb="FFFF0000"/>
        <rFont val="Calibri"/>
        <family val="2"/>
        <scheme val="minor"/>
      </rPr>
      <t>(pour vacataires : compter 0,7 h par heure de visite conformément au barème vacations IRIS)</t>
    </r>
  </si>
  <si>
    <t>3.11</t>
  </si>
  <si>
    <t>Ajout de la possibilité de faire réaliser des visites par des vacataires et d'un commentaire en B73 sur le chiffrage d'une heure de visite à 0,7 h pour les vacataires conformément au barème IRIS</t>
  </si>
  <si>
    <t>3.12</t>
  </si>
  <si>
    <t>CDD cadre débutant</t>
  </si>
  <si>
    <t>CDD cadre confirmé</t>
  </si>
  <si>
    <t>CDD cadre expert</t>
  </si>
  <si>
    <t>Taux horaire CDD CEA débutant</t>
  </si>
  <si>
    <t>Taux horaire CDD CEA expérimenté</t>
  </si>
  <si>
    <t>Taux horaire CDD CEA expert</t>
  </si>
  <si>
    <t>Modifs couleurs dans cellules à saisir I54 et I56 (onglet fiche) et sur les onglets "installations" et "frais de déplacements"
Ajout estimation des CDD CEA dans menus déroulants "Choisir A1"</t>
  </si>
  <si>
    <t>LPRO - Contrôle des rayonnements ionisants et application des techniques de radioprotection (CRIATP)</t>
  </si>
  <si>
    <t>CEA</t>
  </si>
  <si>
    <t>hors CEA</t>
  </si>
  <si>
    <t>Prix de vente définitif client CEA par participant fixé</t>
  </si>
  <si>
    <t>Prix de vente définitif client externe par participant fixé</t>
  </si>
  <si>
    <t>3.13</t>
  </si>
  <si>
    <t>Ajout d'une estimation du nombre minimum de participants et de la marge dégagée sur coût T1 ou T3 par rapport aux prix fixés en rouge en cellules J20 et J21 de la fiche de coûts</t>
  </si>
  <si>
    <t>BTS - Pilotage des Procédés Lycée Sainte Marie (Bagnols)</t>
  </si>
  <si>
    <t>LOCFORMDLSMX</t>
  </si>
  <si>
    <t>4.0</t>
  </si>
  <si>
    <t>Mise à jour des taux horaires T1 moyens A1 et A2 de main d'œuvre CEA 2022 et des taux T2 et T3 INSTN</t>
  </si>
  <si>
    <t>Taux T2 = coût interne département INSTN (estimation sur budget 2022)</t>
  </si>
  <si>
    <t>Taux T3 = coût interne département INSTN (estimation sur budget 2022)</t>
  </si>
  <si>
    <t>Document à usage interne INSTN - Ne pas diffuser en externe sans accord préalable DSTG</t>
  </si>
  <si>
    <t>Taux T1 C2 CEA 2023</t>
  </si>
  <si>
    <t>Taux T1 C3 CEA 2023</t>
  </si>
  <si>
    <t>Calcul Taux T1 A2 INSTN 2023</t>
  </si>
  <si>
    <t>NC3(&gt;420 points)</t>
  </si>
  <si>
    <t>5.0</t>
  </si>
  <si>
    <r>
      <t xml:space="preserve">Prix de vente CEA uniquement = INTRA
</t>
    </r>
    <r>
      <rPr>
        <b/>
        <sz val="11"/>
        <color rgb="FFFF0000"/>
        <rFont val="Calibri"/>
        <family val="2"/>
        <scheme val="minor"/>
      </rPr>
      <t xml:space="preserve"> (T1)</t>
    </r>
  </si>
  <si>
    <r>
      <t xml:space="preserve">Prix de vente hors CEA minimum 
</t>
    </r>
    <r>
      <rPr>
        <b/>
        <sz val="11"/>
        <color rgb="FFFF0000"/>
        <rFont val="Calibri"/>
        <family val="2"/>
        <scheme val="minor"/>
      </rPr>
      <t>(T3)</t>
    </r>
  </si>
  <si>
    <t>se référer à l'aide pour calcul des frais kilométriques</t>
  </si>
  <si>
    <t>Mise à jour des taux  T1 et T3 INSTN avec les taux de la note DFP/DIR/23-015 " Taux horaires 2023  "
Ajout informatins complémentaires sur les cellules J5 et L5
Ajout d'une formule dans la cellule J20
Mise à jour des barêmes : revalorisation des frais de missions et indemnités kilométriques au 01/01/2023</t>
  </si>
  <si>
    <t>6.0</t>
  </si>
  <si>
    <t>Taux T1 A1 moyen INSTN 2024</t>
  </si>
  <si>
    <t>Taux T1 A2 moyen INSTN 2024</t>
  </si>
  <si>
    <t>Calcul Taux T1 A1 INSTN 2024</t>
  </si>
  <si>
    <t>NB A1 C1 JANV 2024</t>
  </si>
  <si>
    <t>NB A1 C2 JANV 2024</t>
  </si>
  <si>
    <t>NB A1 C3 JANV 2024</t>
  </si>
  <si>
    <t>Taux T1 C1 CEA 2024</t>
  </si>
  <si>
    <t>Note DFP/DIR/24-018
Taux horaires 2024</t>
  </si>
  <si>
    <t>NB A2 NC1 JANV 2024</t>
  </si>
  <si>
    <t>NB A2 NC2 JANV 2024</t>
  </si>
  <si>
    <t>NB A2 NC3 JANV 2024</t>
  </si>
  <si>
    <t>Taux T1 NC1 CEA 2024</t>
  </si>
  <si>
    <t>Taux T1 NC2 CEA 2024</t>
  </si>
  <si>
    <t>Taux T1 NC3 CEA 2024</t>
  </si>
  <si>
    <t>Note DFP/DIR/24-018 Taux horaires 2024</t>
  </si>
  <si>
    <t>Taux 2024 de TVA non récupérable</t>
  </si>
  <si>
    <t>Taux IDR 2024</t>
  </si>
  <si>
    <t>Taux TSS 2024</t>
  </si>
  <si>
    <t>TP - Coût par jour d'utilisation</t>
  </si>
  <si>
    <t>Amphithéâtre de 281 places + 7 PMR + Hall</t>
  </si>
  <si>
    <t>Salle de cours &lt; 26 places "école"</t>
  </si>
  <si>
    <t>Salle de cours &lt; 50 places "école"</t>
  </si>
  <si>
    <t>Salle de cours de 60 à 80 places "école"</t>
  </si>
  <si>
    <t>Salle Eichner 122 places "école"</t>
  </si>
  <si>
    <t>Téléprésence (C4 ou amphi, avec assistance)</t>
  </si>
  <si>
    <t>Webconférence : mise à disposition d'une caméra en salle + licences pour l'externe</t>
  </si>
  <si>
    <t>Enregistrement de la conférence et montage : contacter digital-learning@cea.fr</t>
  </si>
  <si>
    <t>Devis extérieur</t>
  </si>
  <si>
    <t>Régie pour évènement : nous consulter</t>
  </si>
  <si>
    <t>Disposition tables en U ou  en carré &lt; 60 places</t>
  </si>
  <si>
    <t>Disposition tables en U ou  en carré &gt; 60 places</t>
  </si>
  <si>
    <t>Amphi : 2 cabines de traduction</t>
  </si>
  <si>
    <t>Disposition particulière (prestation manutentionnaire --&gt; hors CEA, refacturation du devis + 5%) : nous consulter</t>
  </si>
  <si>
    <t>Casques pour traduction simultannée (Amphithéâtre, Salle Eichner, B6) : nous consulter</t>
  </si>
  <si>
    <t>Prestation complémentaire particulière sur demande</t>
  </si>
  <si>
    <t>Salle 60 à 80 cours</t>
  </si>
  <si>
    <t>Client CEA
(remise 30%)</t>
  </si>
  <si>
    <r>
      <t xml:space="preserve">Diffusion sur la plateforme INSTART. Invitation et gestion des étudiants par le client. Accès à une formation e-learning au LMS. 
</t>
    </r>
    <r>
      <rPr>
        <i/>
        <sz val="11"/>
        <color rgb="FFFF0000"/>
        <rFont val="Calibri"/>
        <family val="2"/>
        <scheme val="minor"/>
      </rPr>
      <t>Le tarif  affiché ici est un tarif externe : un coût de 8 € par participant est déduit du prix CEA dans l'onglet fiche de coûts.</t>
    </r>
  </si>
  <si>
    <r>
      <t xml:space="preserve">Diffusion sur la plateforme INSTART. Formation  à l'utilisation du LMS et à la gestion des apprenants.
</t>
    </r>
    <r>
      <rPr>
        <i/>
        <sz val="11"/>
        <color rgb="FFFF0000"/>
        <rFont val="Calibri"/>
        <family val="2"/>
        <scheme val="minor"/>
      </rPr>
      <t>Le tarif  affiché ici est un tarif externe : un coût de 8 € par participant est déduit du prix CEA dans l'onglet fiche de coûts.</t>
    </r>
  </si>
  <si>
    <r>
      <t xml:space="preserve">Diffusion sur la plateforme INSTART. Invitation et gestion des apprenants. Relance des non-inscrits.
</t>
    </r>
    <r>
      <rPr>
        <i/>
        <sz val="11"/>
        <color rgb="FFFF0000"/>
        <rFont val="Calibri"/>
        <family val="2"/>
        <scheme val="minor"/>
      </rPr>
      <t>Le tarif  affiché ici est un tarif externe : un coût de 8 € par participant est déduit du prix CEA dans l'onglet fiche de coûts.</t>
    </r>
  </si>
  <si>
    <t>Opérateur en Radioprotection </t>
  </si>
  <si>
    <t>LOCTHFORMOPR</t>
  </si>
  <si>
    <t>LP - Métiers de la radioprotection et de la sécurité Nucléaire (MMN, AGeDDEN, CRIATP)</t>
  </si>
  <si>
    <t>LOCFORMDMRSN</t>
  </si>
  <si>
    <t>M2 - Master 2 Radioprotection</t>
  </si>
  <si>
    <t>LOCFORMDM2RX</t>
  </si>
  <si>
    <t>Se référer à la note INSTN/DSTG 2020-078 du 06/11/2020 (mise à jour le 16/01/2024) en matière de remboursement des frais de déplacements et de séjour des extérieurs :</t>
  </si>
  <si>
    <t>Lien vers les tarifs CEA</t>
  </si>
  <si>
    <t>Lien vers les tarifs Extérieurs</t>
  </si>
  <si>
    <t>Si OS spécifique : à saisir en D16</t>
  </si>
  <si>
    <t>Montant à reporter sur fiche de coût (en colonne I)</t>
  </si>
  <si>
    <r>
      <t xml:space="preserve">Durée projet en années dans OTF si ≠ durée amo conception saisie en cellule I57 </t>
    </r>
    <r>
      <rPr>
        <i/>
        <sz val="11"/>
        <color rgb="FFFF0000"/>
        <rFont val="Calibri"/>
        <family val="2"/>
        <scheme val="minor"/>
      </rPr>
      <t>(INTRA ou offre de service)</t>
    </r>
  </si>
  <si>
    <t>Remonte par défaut la valeur de I57 ou 1 an si pas d'amo de la conception, écraser la formule si nécessaire</t>
  </si>
  <si>
    <t>Nombre de participants minimum pour couvrir le coût direct (T1) de la part fixe</t>
  </si>
  <si>
    <t>Ce pavé rouge est dédié aux formations FC INTRA</t>
  </si>
  <si>
    <t>Marge totale = [Prix fixé - coût T3 (hors CEA)]</t>
  </si>
  <si>
    <t>Nb participants mini couvrant coût T1 (CEA)</t>
  </si>
  <si>
    <t>Nb participants mini couvrant coût T3 (hors CEA)</t>
  </si>
  <si>
    <t>Ce pavé rouge est dédié aux formations FC INTER (il faut renseigner la case J22 : PV de la formation par participant externe). Les valeurs de nombre min sont différentes car calculées sur des assiettes différentes</t>
  </si>
  <si>
    <t xml:space="preserve">Mise à jour des taux  T1 et T3 INSTN avec les taux de la note DFP/DIR/24-018 " Taux horaires 2024  "
Ajout informatins complémentaires des pavés encadrés rouge pour la détermination des prix de vente Intra et Inter
</t>
  </si>
  <si>
    <t>Libellé libre Autre (préciser prix HT)</t>
  </si>
  <si>
    <t>Libellé libre Autre (préciser Coût HT)</t>
  </si>
  <si>
    <t>Formation management projet</t>
  </si>
  <si>
    <t>LOCTHMANPROJ</t>
  </si>
  <si>
    <t xml:space="preserve">Pause café </t>
  </si>
  <si>
    <t>Clé café à Saclay (par jour)</t>
  </si>
  <si>
    <t>Fiche de coûts INSTN - V6.1 du 17/01/2025</t>
  </si>
  <si>
    <t>Télémanipulation</t>
  </si>
  <si>
    <t>TEL</t>
  </si>
  <si>
    <t>FC INTER</t>
  </si>
  <si>
    <t>V. Testard</t>
  </si>
  <si>
    <t>UEM</t>
  </si>
  <si>
    <t>Accès aux télémanipulateurs</t>
  </si>
  <si>
    <t>Réingénierie continue</t>
  </si>
  <si>
    <t>€/pers.</t>
  </si>
  <si>
    <t>somme(K87-&gt;K95) pour T1 ou pareil avec L si on veut T3</t>
  </si>
  <si>
    <t>Dans onglet frais variables</t>
  </si>
  <si>
    <t>Ecart lié aux repas (où il y a un +2 pour les accompagants) -&gt; Valeur négligeable sur l'ensemble → Mettre 0 €/personne voire en part fixe au besoin</t>
  </si>
  <si>
    <t>Calcul man</t>
  </si>
  <si>
    <t>Nouvell val</t>
  </si>
  <si>
    <t>Val FdC</t>
  </si>
  <si>
    <t>Coût part variable par personne</t>
  </si>
  <si>
    <t>Coût fixe conception</t>
  </si>
  <si>
    <t>Coût fixe réalisation</t>
  </si>
  <si>
    <t>€</t>
  </si>
  <si>
    <t>Calcul avec Coût complet CEA (L)</t>
  </si>
  <si>
    <t>Ecart minime lié aux repas (où il y a un +2 pour les accompagants) -&gt; Valeur négligeable sur l'ensemble → Mettre 0 €/personne voire en part fixe au besoin</t>
  </si>
  <si>
    <t>Ici exclu pour la tel</t>
  </si>
  <si>
    <t>L56</t>
  </si>
  <si>
    <t>somme(L64 → L86 ; L96→L103) ou L9-L56</t>
  </si>
  <si>
    <t>somme(L87-&gt;L95) pour T3 ou L10/C17</t>
  </si>
  <si>
    <t>Coût fixe total</t>
  </si>
  <si>
    <t>Somme 2 sous-calculs</t>
  </si>
  <si>
    <t>Nb_participants_Min</t>
  </si>
  <si>
    <t>Prix fixé T3</t>
  </si>
  <si>
    <t>J22</t>
  </si>
  <si>
    <t>Prix_fixé_par_personne [€/pes.] = Coûts_fixes [€]/nb_participants_Min [pers.] + coût_part_variable [€/pers.]</t>
  </si>
  <si>
    <t>Prix_fixé_par_personne [€/pes.] - coût_part_variable [€/pers.] = Coûts_fixes [€]/nb_participants_Min [pers.]</t>
  </si>
  <si>
    <t>(Prix_fixé_par_personne [€/pes.] - coût_part_variable [€/pers.])/Coûts_fixes [€] = 1/nb_participants_Min [pers.]</t>
  </si>
  <si>
    <t>nb_participants_Min [pers.] = Coûts_fixes [€] / (Prix_fixé_par_personne [€/pes.] - coût_part_variable [€/pers.])</t>
  </si>
  <si>
    <t>nb participants cible</t>
  </si>
  <si>
    <t>Montant hors aléas</t>
  </si>
  <si>
    <t>dont part fixe</t>
  </si>
  <si>
    <t>dont part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</si>
</sst>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 &quot;€&quot;"/>
    <numFmt numFmtId="165" formatCode="#,##0.0"/>
    <numFmt numFmtId="166" formatCode="0.000000"/>
    <numFmt numFmtId="167" formatCode="#,##0\ &quot;€&quot;"/>
    <numFmt numFmtId="168" formatCode="0&quot; €/j&quot;"/>
    <numFmt numFmtId="169" formatCode="0&quot; €/j/pers&quot;"/>
    <numFmt numFmtId="170" formatCode="0&quot; pers.&quot;"/>
    <numFmt numFmtId="171" formatCode="0&quot; €/pers&quot;"/>
    <numFmt numFmtId="172" formatCode="_-* #,##0\ &quot;€&quot;_-;\-* #,##0\ &quot;€&quot;_-;_-* &quot;-&quot;??\ &quot;€&quot;_-;_-@_-"/>
    <numFmt numFmtId="173" formatCode="0&quot; €/pers.&quot;"/>
    <numFmt numFmtId="174" formatCode="#,##0&quot; €&quot;"/>
    <numFmt numFmtId="175" formatCode="#,##0&quot; €/p.&quot;"/>
    <numFmt numFmtId="176" formatCode="_-* #,##0\ [$€-40C]_-;\-* #,##0\ [$€-40C]_-;_-* &quot;-&quot;??\ [$€-40C]_-;_-@_-"/>
  </numFmts>
  <fonts count="45" x14ac:knownFonts="1">
    <font>
      <sz val="11"/>
      <color theme="1"/>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1"/>
      <color theme="1"/>
      <name val="Calibri"/>
      <family val="2"/>
      <scheme val="minor"/>
    </font>
    <font>
      <b/>
      <i/>
      <sz val="11"/>
      <color theme="1"/>
      <name val="Calibri"/>
      <family val="2"/>
      <scheme val="minor"/>
    </font>
    <font>
      <b/>
      <sz val="12"/>
      <color theme="1"/>
      <name val="Calibri"/>
      <family val="2"/>
      <scheme val="minor"/>
    </font>
    <font>
      <b/>
      <sz val="14"/>
      <color theme="1"/>
      <name val="Calibri"/>
      <family val="2"/>
      <scheme val="minor"/>
    </font>
    <font>
      <i/>
      <sz val="11"/>
      <color rgb="FFFF0000"/>
      <name val="Calibri"/>
      <family val="2"/>
      <scheme val="minor"/>
    </font>
    <font>
      <b/>
      <i/>
      <sz val="11"/>
      <color rgb="FFFF0000"/>
      <name val="Calibri"/>
      <family val="2"/>
      <scheme val="minor"/>
    </font>
    <font>
      <b/>
      <sz val="24"/>
      <color theme="1"/>
      <name val="Calibri"/>
      <family val="2"/>
      <scheme val="minor"/>
    </font>
    <font>
      <b/>
      <sz val="11"/>
      <color rgb="FFFF0000"/>
      <name val="Calibri"/>
      <family val="2"/>
      <scheme val="minor"/>
    </font>
    <font>
      <b/>
      <i/>
      <sz val="14"/>
      <color rgb="FFFF0000"/>
      <name val="Calibri"/>
      <family val="2"/>
      <scheme val="minor"/>
    </font>
    <font>
      <sz val="11"/>
      <color rgb="FF0070C0"/>
      <name val="Calibri"/>
      <family val="2"/>
      <scheme val="minor"/>
    </font>
    <font>
      <i/>
      <sz val="11"/>
      <color rgb="FF0070C0"/>
      <name val="Calibri"/>
      <family val="2"/>
      <scheme val="minor"/>
    </font>
    <font>
      <b/>
      <sz val="10"/>
      <color theme="1"/>
      <name val="Arial"/>
      <family val="2"/>
    </font>
    <font>
      <b/>
      <sz val="16"/>
      <color theme="1"/>
      <name val="Calibri"/>
      <family val="2"/>
      <scheme val="minor"/>
    </font>
    <font>
      <b/>
      <u/>
      <sz val="12"/>
      <color theme="1"/>
      <name val="Calibri"/>
      <family val="2"/>
      <scheme val="minor"/>
    </font>
    <font>
      <i/>
      <sz val="10"/>
      <color theme="5" tint="-0.499984740745262"/>
      <name val="Calibri"/>
      <family val="2"/>
      <scheme val="minor"/>
    </font>
    <font>
      <i/>
      <sz val="11"/>
      <color theme="5" tint="-0.499984740745262"/>
      <name val="Calibri"/>
      <family val="2"/>
      <scheme val="minor"/>
    </font>
    <font>
      <sz val="12"/>
      <color theme="1"/>
      <name val="Calibri"/>
      <family val="2"/>
      <scheme val="minor"/>
    </font>
    <font>
      <sz val="10"/>
      <color theme="1"/>
      <name val="Arial"/>
      <family val="2"/>
    </font>
    <font>
      <sz val="11"/>
      <color theme="7" tint="-0.499984740745262"/>
      <name val="Calibri"/>
      <family val="2"/>
      <scheme val="minor"/>
    </font>
    <font>
      <sz val="11"/>
      <color theme="5"/>
      <name val="Calibri"/>
      <family val="2"/>
      <scheme val="minor"/>
    </font>
    <font>
      <i/>
      <sz val="11"/>
      <color rgb="FF00B050"/>
      <name val="Calibri"/>
      <family val="2"/>
      <scheme val="minor"/>
    </font>
    <font>
      <i/>
      <sz val="12"/>
      <color theme="1"/>
      <name val="Calibri"/>
      <family val="2"/>
      <scheme val="minor"/>
    </font>
    <font>
      <u/>
      <sz val="11"/>
      <color theme="10"/>
      <name val="Calibri"/>
      <family val="2"/>
      <scheme val="minor"/>
    </font>
    <font>
      <i/>
      <u/>
      <sz val="11"/>
      <color theme="10"/>
      <name val="Calibri"/>
      <family val="2"/>
      <scheme val="minor"/>
    </font>
    <font>
      <b/>
      <u/>
      <sz val="11"/>
      <color theme="1"/>
      <name val="Calibri"/>
      <family val="2"/>
      <scheme val="minor"/>
    </font>
    <font>
      <b/>
      <i/>
      <sz val="10"/>
      <color theme="1"/>
      <name val="Calibri"/>
      <family val="2"/>
      <scheme val="minor"/>
    </font>
    <font>
      <sz val="10"/>
      <name val="Calibri"/>
      <family val="2"/>
      <scheme val="minor"/>
    </font>
    <font>
      <i/>
      <sz val="10"/>
      <name val="Calibri"/>
      <family val="2"/>
      <scheme val="minor"/>
    </font>
    <font>
      <i/>
      <sz val="11"/>
      <name val="Calibri"/>
      <family val="2"/>
      <scheme val="minor"/>
    </font>
    <font>
      <sz val="11"/>
      <color theme="5" tint="-0.499984740745262"/>
      <name val="Calibri"/>
      <family val="2"/>
      <scheme val="minor"/>
    </font>
    <font>
      <b/>
      <sz val="12"/>
      <color rgb="FF00B050"/>
      <name val="Calibri"/>
      <family val="2"/>
      <scheme val="minor"/>
    </font>
    <font>
      <b/>
      <sz val="18"/>
      <color theme="1"/>
      <name val="Calibri"/>
      <family val="2"/>
      <scheme val="minor"/>
    </font>
    <font>
      <b/>
      <sz val="11"/>
      <color theme="1"/>
      <name val="Calibri"/>
      <family val="2"/>
    </font>
    <font>
      <sz val="10"/>
      <name val="Arial"/>
      <family val="2"/>
    </font>
    <font>
      <sz val="9"/>
      <color indexed="81"/>
      <name val="Tahoma"/>
      <family val="2"/>
    </font>
    <font>
      <i/>
      <sz val="9"/>
      <color indexed="81"/>
      <name val="Tahoma"/>
      <family val="2"/>
    </font>
    <font>
      <u/>
      <sz val="9"/>
      <color indexed="81"/>
      <name val="Tahoma"/>
      <family val="2"/>
    </font>
    <font>
      <b/>
      <i/>
      <sz val="11"/>
      <color theme="9"/>
      <name val="Calibri"/>
      <family val="2"/>
      <scheme val="minor"/>
    </font>
    <font>
      <b/>
      <i/>
      <sz val="10"/>
      <color theme="9"/>
      <name val="Calibri"/>
      <family val="2"/>
      <scheme val="minor"/>
    </font>
    <font>
      <b/>
      <sz val="9"/>
      <color indexed="81"/>
      <name val="Tahoma"/>
      <family val="2"/>
    </font>
    <font>
      <sz val="11"/>
      <color rgb="FF9C5700"/>
      <name val="Calibri"/>
      <family val="2"/>
      <scheme val="minor"/>
    </font>
  </fonts>
  <fills count="2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1"/>
        <bgColor indexed="64"/>
      </patternFill>
    </fill>
    <fill>
      <patternFill patternType="solid">
        <fgColor theme="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6F1B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2"/>
        <bgColor indexed="64"/>
      </patternFill>
    </fill>
    <fill>
      <patternFill patternType="solid">
        <fgColor rgb="FFFFC000"/>
        <bgColor indexed="64"/>
      </patternFill>
    </fill>
    <fill>
      <patternFill patternType="solid">
        <fgColor rgb="FFFFEB9C"/>
      </patternFill>
    </fill>
  </fills>
  <borders count="10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style="thin">
        <color indexed="64"/>
      </right>
      <top style="medium">
        <color indexed="64"/>
      </top>
      <bottom/>
      <diagonal/>
    </border>
    <border>
      <left style="thick">
        <color rgb="FFFF0000"/>
      </left>
      <right style="thick">
        <color rgb="FFFF0000"/>
      </right>
      <top style="thick">
        <color rgb="FFFF0000"/>
      </top>
      <bottom style="thick">
        <color rgb="FFFF0000"/>
      </bottom>
      <diagonal/>
    </border>
    <border>
      <left style="medium">
        <color rgb="FFFF0000"/>
      </left>
      <right style="medium">
        <color rgb="FFFF0000"/>
      </right>
      <top style="medium">
        <color rgb="FFFF0000"/>
      </top>
      <bottom style="medium">
        <color rgb="FFFF0000"/>
      </bottom>
      <diagonal/>
    </border>
    <border>
      <left style="medium">
        <color indexed="64"/>
      </left>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rgb="FFFF0000"/>
      </left>
      <right style="thick">
        <color rgb="FFFF0000"/>
      </right>
      <top style="thin">
        <color rgb="FFFF0000"/>
      </top>
      <bottom style="thick">
        <color rgb="FFFF0000"/>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
      <left style="medium">
        <color indexed="64"/>
      </left>
      <right style="medium">
        <color indexed="64"/>
      </right>
      <top/>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right style="medium">
        <color rgb="FFFF0000"/>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diagonal/>
    </border>
    <border>
      <left/>
      <right/>
      <top style="thin">
        <color indexed="64"/>
      </top>
      <bottom style="medium">
        <color indexed="64"/>
      </bottom>
      <diagonal/>
    </border>
    <border>
      <left/>
      <right style="thin">
        <color indexed="64"/>
      </right>
      <top style="medium">
        <color indexed="64"/>
      </top>
      <bottom/>
      <diagonal/>
    </border>
    <border>
      <left/>
      <right style="medium">
        <color rgb="FFFF0000"/>
      </right>
      <top style="medium">
        <color indexed="64"/>
      </top>
      <bottom/>
      <diagonal/>
    </border>
    <border>
      <left style="medium">
        <color rgb="FFFF0000"/>
      </left>
      <right style="medium">
        <color rgb="FFFF0000"/>
      </right>
      <top style="medium">
        <color rgb="FFFF0000"/>
      </top>
      <bottom/>
      <diagonal/>
    </border>
    <border>
      <left style="thick">
        <color rgb="FFFF0000"/>
      </left>
      <right style="thin">
        <color indexed="64"/>
      </right>
      <top style="thick">
        <color rgb="FFFF0000"/>
      </top>
      <bottom style="thin">
        <color indexed="64"/>
      </bottom>
      <diagonal/>
    </border>
    <border>
      <left style="thin">
        <color indexed="64"/>
      </left>
      <right style="thick">
        <color rgb="FFFF0000"/>
      </right>
      <top style="thick">
        <color rgb="FFFF0000"/>
      </top>
      <bottom style="thin">
        <color indexed="64"/>
      </bottom>
      <diagonal/>
    </border>
    <border>
      <left style="thick">
        <color rgb="FFFF0000"/>
      </left>
      <right style="thin">
        <color indexed="64"/>
      </right>
      <top style="thin">
        <color indexed="64"/>
      </top>
      <bottom style="thick">
        <color rgb="FFFF0000"/>
      </bottom>
      <diagonal/>
    </border>
    <border>
      <left style="thin">
        <color indexed="64"/>
      </left>
      <right style="thick">
        <color rgb="FFFF0000"/>
      </right>
      <top style="thin">
        <color indexed="64"/>
      </top>
      <bottom style="thick">
        <color rgb="FFFF0000"/>
      </bottom>
      <diagonal/>
    </border>
    <border>
      <left style="thick">
        <color rgb="FFFF0000"/>
      </left>
      <right style="thin">
        <color rgb="FFFF0000"/>
      </right>
      <top style="thick">
        <color rgb="FFFF0000"/>
      </top>
      <bottom style="thin">
        <color rgb="FFFF0000"/>
      </bottom>
      <diagonal/>
    </border>
    <border>
      <left style="thin">
        <color rgb="FFFF0000"/>
      </left>
      <right style="thin">
        <color rgb="FFFF0000"/>
      </right>
      <top style="thick">
        <color rgb="FFFF0000"/>
      </top>
      <bottom style="thin">
        <color rgb="FFFF0000"/>
      </bottom>
      <diagonal/>
    </border>
    <border>
      <left style="thick">
        <color rgb="FFFF0000"/>
      </left>
      <right style="thin">
        <color rgb="FFFF0000"/>
      </right>
      <top style="thin">
        <color rgb="FFFF0000"/>
      </top>
      <bottom style="thick">
        <color rgb="FFFF0000"/>
      </bottom>
      <diagonal/>
    </border>
    <border>
      <left style="thin">
        <color rgb="FFFF0000"/>
      </left>
      <right style="thin">
        <color rgb="FFFF0000"/>
      </right>
      <top style="thin">
        <color rgb="FFFF0000"/>
      </top>
      <bottom style="thick">
        <color rgb="FFFF0000"/>
      </bottom>
      <diagonal/>
    </border>
    <border>
      <left style="thin">
        <color rgb="FFFF0000"/>
      </left>
      <right style="thin">
        <color rgb="FFFF0000"/>
      </right>
      <top/>
      <bottom style="thin">
        <color rgb="FFFF0000"/>
      </bottom>
      <diagonal/>
    </border>
    <border>
      <left style="thin">
        <color rgb="FFFF0000"/>
      </left>
      <right style="thick">
        <color rgb="FFFF0000"/>
      </right>
      <top/>
      <bottom style="thin">
        <color rgb="FFFF0000"/>
      </bottom>
      <diagonal/>
    </border>
    <border>
      <left style="thick">
        <color rgb="FFFF0000"/>
      </left>
      <right style="thin">
        <color rgb="FFFF0000"/>
      </right>
      <top style="thick">
        <color rgb="FFFF0000"/>
      </top>
      <bottom style="thick">
        <color rgb="FFFF0000"/>
      </bottom>
      <diagonal/>
    </border>
    <border>
      <left style="thin">
        <color rgb="FFFF0000"/>
      </left>
      <right style="thick">
        <color rgb="FFFF0000"/>
      </right>
      <top style="thick">
        <color rgb="FFFF0000"/>
      </top>
      <bottom style="thick">
        <color rgb="FFFF0000"/>
      </bottom>
      <diagonal/>
    </border>
    <border>
      <left style="medium">
        <color indexed="64"/>
      </left>
      <right style="medium">
        <color indexed="64"/>
      </right>
      <top style="thin">
        <color indexed="64"/>
      </top>
      <bottom/>
      <diagonal/>
    </border>
    <border>
      <left/>
      <right style="medium">
        <color indexed="64"/>
      </right>
      <top/>
      <bottom/>
      <diagonal/>
    </border>
    <border>
      <left style="thin">
        <color rgb="FFFF0000"/>
      </left>
      <right style="thick">
        <color rgb="FFFF0000"/>
      </right>
      <top/>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n">
        <color indexed="64"/>
      </right>
      <top style="thick">
        <color rgb="FFFF0000"/>
      </top>
      <bottom style="thick">
        <color rgb="FFFF0000"/>
      </bottom>
      <diagonal/>
    </border>
    <border>
      <left style="thin">
        <color indexed="64"/>
      </left>
      <right style="thin">
        <color indexed="64"/>
      </right>
      <top style="thick">
        <color rgb="FFFF0000"/>
      </top>
      <bottom style="thick">
        <color rgb="FFFF0000"/>
      </bottom>
      <diagonal/>
    </border>
    <border>
      <left style="thin">
        <color indexed="64"/>
      </left>
      <right style="thick">
        <color rgb="FFFF0000"/>
      </right>
      <top style="thick">
        <color rgb="FFFF0000"/>
      </top>
      <bottom style="thick">
        <color rgb="FFFF0000"/>
      </bottom>
      <diagonal/>
    </border>
    <border>
      <left style="thick">
        <color rgb="FFFF0000"/>
      </left>
      <right style="thick">
        <color rgb="FFFF0000"/>
      </right>
      <top style="thick">
        <color rgb="FFFF0000"/>
      </top>
      <bottom/>
      <diagonal/>
    </border>
    <border>
      <left style="thick">
        <color rgb="FFFF0000"/>
      </left>
      <right style="thick">
        <color rgb="FFFF0000"/>
      </right>
      <top/>
      <bottom/>
      <diagonal/>
    </border>
    <border>
      <left style="thick">
        <color rgb="FFFF0000"/>
      </left>
      <right style="thick">
        <color rgb="FFFF0000"/>
      </right>
      <top/>
      <bottom style="thick">
        <color rgb="FFFF0000"/>
      </bottom>
      <diagonal/>
    </border>
    <border>
      <left style="thin">
        <color rgb="FFFF0000"/>
      </left>
      <right style="thin">
        <color rgb="FFFF0000"/>
      </right>
      <top style="thin">
        <color rgb="FFFF0000"/>
      </top>
      <bottom style="thin">
        <color rgb="FFFF0000"/>
      </bottom>
      <diagonal/>
    </border>
    <border>
      <left style="thin">
        <color rgb="FFFF0000"/>
      </left>
      <right style="thin">
        <color rgb="FFFF0000"/>
      </right>
      <top/>
      <bottom style="thick">
        <color rgb="FFFF0000"/>
      </bottom>
      <diagonal/>
    </border>
  </borders>
  <cellStyleXfs count="4">
    <xf numFmtId="0" fontId="0" fillId="0" borderId="0"/>
    <xf numFmtId="0" fontId="26" fillId="0" borderId="0" applyNumberFormat="0" applyFill="0" applyBorder="0" applyAlignment="0" applyProtection="0"/>
    <xf numFmtId="0" fontId="37" fillId="0" borderId="0"/>
    <xf numFmtId="0" fontId="44" fillId="24" borderId="0" applyNumberFormat="0" applyBorder="0" applyAlignment="0" applyProtection="0"/>
  </cellStyleXfs>
  <cellXfs count="885">
    <xf numFmtId="0" fontId="0" fillId="0" borderId="0" xfId="0"/>
    <xf numFmtId="0" fontId="0" fillId="0" borderId="0" xfId="0" applyFont="1" applyAlignment="1">
      <alignment vertical="center" wrapText="1"/>
    </xf>
    <xf numFmtId="0" fontId="0" fillId="0" borderId="2" xfId="0" applyFont="1" applyBorder="1" applyAlignment="1" applyProtection="1">
      <alignment horizontal="left" vertical="center" wrapText="1"/>
    </xf>
    <xf numFmtId="0" fontId="2" fillId="0" borderId="0" xfId="0" applyFont="1" applyAlignment="1">
      <alignment vertical="center"/>
    </xf>
    <xf numFmtId="0" fontId="0" fillId="0" borderId="1" xfId="0" applyFont="1" applyBorder="1" applyAlignment="1" applyProtection="1">
      <alignment horizontal="left" vertical="center" wrapText="1"/>
    </xf>
    <xf numFmtId="0" fontId="0" fillId="0" borderId="1" xfId="0" applyFont="1" applyBorder="1" applyAlignment="1">
      <alignment vertical="center" wrapText="1"/>
    </xf>
    <xf numFmtId="0" fontId="1" fillId="0" borderId="1" xfId="0" applyFont="1" applyBorder="1" applyAlignment="1" applyProtection="1">
      <alignment horizontal="left" vertical="center" wrapText="1"/>
    </xf>
    <xf numFmtId="0" fontId="1" fillId="2" borderId="1" xfId="0" applyFont="1" applyFill="1" applyBorder="1" applyAlignment="1" applyProtection="1">
      <alignment horizontal="left" vertical="center" wrapText="1"/>
    </xf>
    <xf numFmtId="0" fontId="4" fillId="0" borderId="0" xfId="0" applyFont="1" applyAlignment="1">
      <alignment vertical="center"/>
    </xf>
    <xf numFmtId="0" fontId="0" fillId="0" borderId="1" xfId="0" applyFont="1" applyFill="1" applyBorder="1" applyAlignment="1">
      <alignment vertical="center" wrapText="1"/>
    </xf>
    <xf numFmtId="0" fontId="0" fillId="0" borderId="1" xfId="0" applyFont="1" applyBorder="1" applyAlignment="1">
      <alignment horizontal="left" vertical="center"/>
    </xf>
    <xf numFmtId="3" fontId="0" fillId="3" borderId="1" xfId="0" applyNumberFormat="1" applyFont="1" applyFill="1" applyBorder="1" applyAlignment="1">
      <alignment vertical="center" wrapText="1"/>
    </xf>
    <xf numFmtId="0" fontId="0" fillId="4" borderId="9" xfId="0" applyFont="1" applyFill="1" applyBorder="1" applyAlignment="1">
      <alignment horizontal="center" vertical="center" wrapText="1"/>
    </xf>
    <xf numFmtId="0" fontId="0" fillId="4" borderId="10"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0" fillId="0" borderId="24" xfId="0" applyFont="1" applyBorder="1" applyAlignment="1" applyProtection="1">
      <alignment horizontal="left" vertical="center" wrapText="1"/>
    </xf>
    <xf numFmtId="3" fontId="0" fillId="3" borderId="24" xfId="0" applyNumberFormat="1" applyFont="1" applyFill="1" applyBorder="1" applyAlignment="1">
      <alignment vertical="center" wrapText="1"/>
    </xf>
    <xf numFmtId="0" fontId="0" fillId="0" borderId="17" xfId="0" applyFont="1" applyBorder="1" applyAlignment="1">
      <alignment vertical="center" wrapText="1"/>
    </xf>
    <xf numFmtId="3" fontId="0" fillId="3" borderId="17" xfId="0" applyNumberFormat="1" applyFont="1" applyFill="1" applyBorder="1" applyAlignment="1">
      <alignment vertical="center" wrapText="1"/>
    </xf>
    <xf numFmtId="0" fontId="1" fillId="0" borderId="24" xfId="0" applyFont="1" applyBorder="1" applyAlignment="1" applyProtection="1">
      <alignment horizontal="left" vertical="center" wrapText="1"/>
    </xf>
    <xf numFmtId="0" fontId="0" fillId="0" borderId="17" xfId="0" applyFont="1" applyBorder="1" applyAlignment="1" applyProtection="1">
      <alignment horizontal="left" vertical="center" wrapText="1"/>
    </xf>
    <xf numFmtId="3" fontId="0"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xf>
    <xf numFmtId="0" fontId="7" fillId="0" borderId="0" xfId="0" applyFont="1"/>
    <xf numFmtId="3" fontId="0" fillId="5" borderId="1" xfId="0" applyNumberFormat="1" applyFill="1" applyBorder="1"/>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0" fillId="0" borderId="14" xfId="0" applyBorder="1"/>
    <xf numFmtId="0" fontId="0" fillId="0" borderId="15" xfId="0" applyBorder="1"/>
    <xf numFmtId="0" fontId="0" fillId="0" borderId="16" xfId="0" applyBorder="1"/>
    <xf numFmtId="0" fontId="0" fillId="0" borderId="32" xfId="0" applyBorder="1"/>
    <xf numFmtId="0" fontId="0" fillId="0" borderId="33" xfId="0" applyBorder="1"/>
    <xf numFmtId="0" fontId="0" fillId="0" borderId="19" xfId="0" applyBorder="1"/>
    <xf numFmtId="0" fontId="0" fillId="0" borderId="37" xfId="0" applyBorder="1"/>
    <xf numFmtId="0" fontId="0" fillId="0" borderId="34" xfId="0" applyBorder="1"/>
    <xf numFmtId="0" fontId="0" fillId="0" borderId="22" xfId="0" applyBorder="1"/>
    <xf numFmtId="0" fontId="4" fillId="0" borderId="16"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29" xfId="0" applyFont="1" applyBorder="1" applyAlignment="1">
      <alignment horizontal="center" vertical="center" wrapText="1"/>
    </xf>
    <xf numFmtId="3" fontId="6" fillId="5" borderId="1" xfId="0" applyNumberFormat="1" applyFont="1" applyFill="1" applyBorder="1"/>
    <xf numFmtId="3" fontId="0" fillId="3" borderId="2" xfId="0" applyNumberFormat="1" applyFont="1" applyFill="1" applyBorder="1" applyAlignment="1">
      <alignment vertical="center" wrapText="1"/>
    </xf>
    <xf numFmtId="4" fontId="4" fillId="4" borderId="9" xfId="0" applyNumberFormat="1" applyFont="1" applyFill="1" applyBorder="1" applyAlignment="1">
      <alignment horizontal="right" vertical="center" wrapText="1"/>
    </xf>
    <xf numFmtId="3" fontId="4" fillId="4" borderId="9" xfId="0" applyNumberFormat="1" applyFont="1" applyFill="1" applyBorder="1" applyAlignment="1">
      <alignment horizontal="right" vertical="center" wrapText="1"/>
    </xf>
    <xf numFmtId="4" fontId="0" fillId="6" borderId="24" xfId="0" applyNumberFormat="1" applyFont="1" applyFill="1" applyBorder="1" applyAlignment="1">
      <alignment vertical="center" wrapText="1"/>
    </xf>
    <xf numFmtId="3" fontId="0" fillId="6" borderId="24" xfId="0" applyNumberFormat="1" applyFont="1" applyFill="1" applyBorder="1" applyAlignment="1">
      <alignment vertical="center" wrapText="1"/>
    </xf>
    <xf numFmtId="4" fontId="0" fillId="6" borderId="17" xfId="0" applyNumberFormat="1" applyFont="1" applyFill="1" applyBorder="1" applyAlignment="1">
      <alignment vertical="center" wrapText="1"/>
    </xf>
    <xf numFmtId="3" fontId="0" fillId="6" borderId="17" xfId="0" applyNumberFormat="1" applyFont="1" applyFill="1" applyBorder="1" applyAlignment="1">
      <alignment vertical="center" wrapText="1"/>
    </xf>
    <xf numFmtId="4" fontId="0" fillId="6" borderId="1" xfId="0" applyNumberFormat="1" applyFont="1" applyFill="1" applyBorder="1" applyAlignment="1">
      <alignment vertical="center" wrapText="1"/>
    </xf>
    <xf numFmtId="3" fontId="0" fillId="6" borderId="1" xfId="0" applyNumberFormat="1" applyFont="1" applyFill="1" applyBorder="1" applyAlignment="1">
      <alignment vertical="center" wrapText="1"/>
    </xf>
    <xf numFmtId="4" fontId="0" fillId="6" borderId="2" xfId="0" applyNumberFormat="1" applyFont="1" applyFill="1" applyBorder="1" applyAlignment="1">
      <alignment vertical="center" wrapText="1"/>
    </xf>
    <xf numFmtId="3" fontId="0" fillId="6" borderId="2" xfId="0" applyNumberFormat="1" applyFont="1" applyFill="1" applyBorder="1" applyAlignment="1">
      <alignment vertical="center" wrapText="1"/>
    </xf>
    <xf numFmtId="4" fontId="4" fillId="6" borderId="9" xfId="0" applyNumberFormat="1" applyFont="1" applyFill="1" applyBorder="1" applyAlignment="1">
      <alignment horizontal="right" vertical="center" wrapText="1"/>
    </xf>
    <xf numFmtId="3" fontId="4" fillId="6" borderId="9" xfId="0" applyNumberFormat="1" applyFont="1" applyFill="1" applyBorder="1" applyAlignment="1">
      <alignment horizontal="right" vertical="center" wrapText="1"/>
    </xf>
    <xf numFmtId="3" fontId="3" fillId="6" borderId="1" xfId="0" applyNumberFormat="1" applyFont="1" applyFill="1" applyBorder="1" applyAlignment="1">
      <alignment vertical="center" wrapText="1"/>
    </xf>
    <xf numFmtId="4" fontId="0" fillId="3" borderId="1" xfId="0" applyNumberFormat="1" applyFont="1" applyFill="1" applyBorder="1" applyAlignment="1">
      <alignment horizontal="center" vertical="center" wrapText="1"/>
    </xf>
    <xf numFmtId="0" fontId="0" fillId="0" borderId="46" xfId="0" applyBorder="1"/>
    <xf numFmtId="0" fontId="0" fillId="0" borderId="44" xfId="0" applyBorder="1"/>
    <xf numFmtId="0" fontId="5" fillId="0" borderId="51"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0" fillId="0" borderId="14" xfId="0" applyFont="1" applyBorder="1" applyAlignment="1">
      <alignment vertical="center" wrapText="1"/>
    </xf>
    <xf numFmtId="0" fontId="2" fillId="0" borderId="0" xfId="0" applyFont="1"/>
    <xf numFmtId="0" fontId="0" fillId="0" borderId="36" xfId="0" applyBorder="1"/>
    <xf numFmtId="0" fontId="4" fillId="0" borderId="38" xfId="0" applyFont="1" applyBorder="1" applyAlignment="1">
      <alignment horizontal="center" vertical="center"/>
    </xf>
    <xf numFmtId="0" fontId="4" fillId="0" borderId="48" xfId="0" applyFont="1" applyBorder="1" applyAlignment="1">
      <alignment horizontal="center" vertical="center"/>
    </xf>
    <xf numFmtId="0" fontId="4" fillId="5" borderId="32" xfId="0" applyFont="1" applyFill="1" applyBorder="1" applyAlignment="1">
      <alignment vertical="center" wrapText="1"/>
    </xf>
    <xf numFmtId="0" fontId="4" fillId="5" borderId="33" xfId="0" applyFont="1" applyFill="1" applyBorder="1" applyAlignment="1">
      <alignment vertical="center" wrapText="1"/>
    </xf>
    <xf numFmtId="0" fontId="4" fillId="5" borderId="31" xfId="0" applyFont="1" applyFill="1" applyBorder="1" applyAlignment="1">
      <alignment vertical="center" wrapText="1"/>
    </xf>
    <xf numFmtId="0" fontId="4" fillId="0" borderId="26" xfId="0" applyFont="1" applyBorder="1" applyAlignment="1">
      <alignment horizontal="center" vertical="center" wrapText="1"/>
    </xf>
    <xf numFmtId="0" fontId="4" fillId="0" borderId="53" xfId="0" applyFont="1" applyBorder="1" applyAlignment="1">
      <alignment horizontal="center" vertical="center" wrapText="1"/>
    </xf>
    <xf numFmtId="0" fontId="6" fillId="5" borderId="48" xfId="0" applyFont="1" applyFill="1" applyBorder="1" applyAlignment="1">
      <alignment vertical="center" wrapText="1"/>
    </xf>
    <xf numFmtId="3" fontId="4" fillId="4" borderId="8" xfId="0" applyNumberFormat="1" applyFont="1" applyFill="1" applyBorder="1" applyAlignment="1">
      <alignment vertical="center" wrapText="1"/>
    </xf>
    <xf numFmtId="4" fontId="0" fillId="7" borderId="1" xfId="0" applyNumberFormat="1" applyFont="1" applyFill="1" applyBorder="1" applyAlignment="1">
      <alignment vertical="center" wrapText="1"/>
    </xf>
    <xf numFmtId="3" fontId="0" fillId="7" borderId="1" xfId="0" applyNumberFormat="1" applyFont="1" applyFill="1" applyBorder="1" applyAlignment="1">
      <alignment vertical="center" wrapText="1"/>
    </xf>
    <xf numFmtId="0" fontId="0" fillId="0" borderId="0" xfId="0" applyFont="1" applyAlignment="1">
      <alignment vertical="center"/>
    </xf>
    <xf numFmtId="3" fontId="1" fillId="3" borderId="1" xfId="0" applyNumberFormat="1" applyFont="1" applyFill="1" applyBorder="1" applyAlignment="1">
      <alignment vertical="center" wrapText="1"/>
    </xf>
    <xf numFmtId="0" fontId="4" fillId="0" borderId="1" xfId="0" applyFont="1" applyBorder="1" applyAlignment="1">
      <alignment vertical="center" wrapText="1"/>
    </xf>
    <xf numFmtId="0" fontId="0" fillId="4" borderId="8" xfId="0" applyFont="1" applyFill="1" applyBorder="1" applyAlignment="1">
      <alignment horizontal="center" vertical="center" wrapText="1"/>
    </xf>
    <xf numFmtId="3" fontId="4" fillId="4" borderId="48" xfId="0" applyNumberFormat="1" applyFont="1" applyFill="1" applyBorder="1" applyAlignment="1">
      <alignment vertical="center" wrapText="1"/>
    </xf>
    <xf numFmtId="0" fontId="0" fillId="0" borderId="3" xfId="0" applyFont="1" applyBorder="1" applyAlignment="1" applyProtection="1">
      <alignment horizontal="left" vertical="center" wrapText="1"/>
    </xf>
    <xf numFmtId="3" fontId="0" fillId="3" borderId="3" xfId="0" applyNumberFormat="1" applyFont="1" applyFill="1" applyBorder="1" applyAlignment="1">
      <alignment vertical="center" wrapText="1"/>
    </xf>
    <xf numFmtId="4" fontId="0" fillId="6" borderId="3" xfId="0" applyNumberFormat="1" applyFont="1" applyFill="1" applyBorder="1" applyAlignment="1">
      <alignment vertical="center" wrapText="1"/>
    </xf>
    <xf numFmtId="3" fontId="0" fillId="6" borderId="3" xfId="0" applyNumberFormat="1" applyFont="1" applyFill="1" applyBorder="1" applyAlignment="1">
      <alignment vertical="center" wrapText="1"/>
    </xf>
    <xf numFmtId="4" fontId="0" fillId="7" borderId="2" xfId="0" applyNumberFormat="1" applyFont="1" applyFill="1" applyBorder="1" applyAlignment="1">
      <alignment vertical="center" wrapText="1"/>
    </xf>
    <xf numFmtId="3" fontId="0" fillId="7" borderId="2" xfId="0" applyNumberFormat="1" applyFont="1" applyFill="1" applyBorder="1" applyAlignment="1">
      <alignment vertical="center" wrapText="1"/>
    </xf>
    <xf numFmtId="3" fontId="3" fillId="6" borderId="2" xfId="0" applyNumberFormat="1" applyFont="1" applyFill="1" applyBorder="1" applyAlignment="1">
      <alignment vertical="center" wrapText="1"/>
    </xf>
    <xf numFmtId="3" fontId="4" fillId="4" borderId="42" xfId="0" applyNumberFormat="1" applyFont="1" applyFill="1" applyBorder="1" applyAlignment="1">
      <alignment horizontal="right" vertical="center" wrapText="1"/>
    </xf>
    <xf numFmtId="3" fontId="0" fillId="3" borderId="59" xfId="0" applyNumberFormat="1" applyFont="1" applyFill="1" applyBorder="1" applyAlignment="1">
      <alignment vertical="center" wrapText="1"/>
    </xf>
    <xf numFmtId="0" fontId="2" fillId="4" borderId="10" xfId="0" applyFont="1" applyFill="1" applyBorder="1" applyAlignment="1">
      <alignment horizontal="center" vertical="center" wrapText="1"/>
    </xf>
    <xf numFmtId="0" fontId="2" fillId="0" borderId="0" xfId="0" applyFont="1" applyAlignment="1">
      <alignment vertical="center" wrapText="1"/>
    </xf>
    <xf numFmtId="3" fontId="5" fillId="4" borderId="8" xfId="0" applyNumberFormat="1" applyFont="1" applyFill="1" applyBorder="1" applyAlignment="1">
      <alignment vertical="center" wrapText="1"/>
    </xf>
    <xf numFmtId="3" fontId="2" fillId="3" borderId="13" xfId="0" applyNumberFormat="1" applyFont="1" applyFill="1" applyBorder="1" applyAlignment="1">
      <alignment vertical="center" wrapText="1"/>
    </xf>
    <xf numFmtId="3" fontId="2" fillId="3" borderId="55" xfId="0" applyNumberFormat="1" applyFont="1" applyFill="1" applyBorder="1" applyAlignment="1">
      <alignment vertical="center" wrapText="1"/>
    </xf>
    <xf numFmtId="3" fontId="2" fillId="3" borderId="56" xfId="0" applyNumberFormat="1" applyFont="1" applyFill="1" applyBorder="1" applyAlignment="1">
      <alignment vertical="center" wrapText="1"/>
    </xf>
    <xf numFmtId="3" fontId="2" fillId="3" borderId="57" xfId="0" applyNumberFormat="1" applyFont="1" applyFill="1" applyBorder="1" applyAlignment="1">
      <alignment vertical="center" wrapText="1"/>
    </xf>
    <xf numFmtId="3" fontId="5" fillId="4" borderId="42" xfId="0" applyNumberFormat="1" applyFont="1" applyFill="1" applyBorder="1" applyAlignment="1">
      <alignment horizontal="right" vertical="center" wrapText="1"/>
    </xf>
    <xf numFmtId="3" fontId="2" fillId="3" borderId="58" xfId="0" applyNumberFormat="1" applyFont="1" applyFill="1" applyBorder="1" applyAlignment="1">
      <alignment vertical="center" wrapText="1"/>
    </xf>
    <xf numFmtId="0" fontId="11" fillId="0" borderId="1" xfId="0" applyFont="1" applyBorder="1" applyAlignment="1">
      <alignment vertical="center" wrapText="1"/>
    </xf>
    <xf numFmtId="0" fontId="0" fillId="0" borderId="3" xfId="0" applyFont="1" applyBorder="1" applyAlignment="1">
      <alignment vertical="center" wrapText="1"/>
    </xf>
    <xf numFmtId="0" fontId="4" fillId="0" borderId="5" xfId="0" applyFont="1" applyBorder="1" applyAlignment="1">
      <alignment vertical="center" wrapText="1"/>
    </xf>
    <xf numFmtId="3" fontId="0" fillId="3" borderId="7" xfId="0" applyNumberFormat="1" applyFont="1" applyFill="1" applyBorder="1" applyAlignment="1">
      <alignment vertical="center" wrapText="1"/>
    </xf>
    <xf numFmtId="4" fontId="0" fillId="6" borderId="47" xfId="0" applyNumberFormat="1" applyFont="1" applyFill="1" applyBorder="1" applyAlignment="1">
      <alignment vertical="center" wrapText="1"/>
    </xf>
    <xf numFmtId="0" fontId="0" fillId="0" borderId="61" xfId="0" applyFont="1" applyBorder="1" applyAlignment="1" applyProtection="1">
      <alignment horizontal="left" vertical="center" wrapText="1"/>
    </xf>
    <xf numFmtId="3" fontId="4" fillId="4" borderId="64" xfId="0" applyNumberFormat="1" applyFont="1" applyFill="1" applyBorder="1" applyAlignment="1">
      <alignment horizontal="right" vertical="center" wrapText="1"/>
    </xf>
    <xf numFmtId="3" fontId="0" fillId="6" borderId="5" xfId="0" applyNumberFormat="1" applyFont="1" applyFill="1" applyBorder="1" applyAlignment="1">
      <alignment vertical="center" wrapText="1"/>
    </xf>
    <xf numFmtId="0" fontId="0" fillId="0" borderId="0" xfId="0" applyFont="1" applyBorder="1" applyAlignment="1">
      <alignment vertical="center"/>
    </xf>
    <xf numFmtId="0" fontId="5" fillId="0" borderId="39" xfId="0" applyFont="1" applyFill="1" applyBorder="1" applyAlignment="1">
      <alignment vertical="center" wrapText="1"/>
    </xf>
    <xf numFmtId="0" fontId="5" fillId="0" borderId="40" xfId="0" applyFont="1" applyFill="1" applyBorder="1" applyAlignment="1">
      <alignment vertical="center" wrapText="1"/>
    </xf>
    <xf numFmtId="0" fontId="0" fillId="0" borderId="46" xfId="0" applyFont="1" applyBorder="1" applyAlignment="1">
      <alignment vertical="center" wrapText="1"/>
    </xf>
    <xf numFmtId="0" fontId="2" fillId="3" borderId="1" xfId="0" applyFont="1" applyFill="1" applyBorder="1" applyAlignment="1">
      <alignment vertical="center" wrapText="1"/>
    </xf>
    <xf numFmtId="0" fontId="8" fillId="0" borderId="1" xfId="0" applyFont="1" applyBorder="1" applyAlignment="1" applyProtection="1">
      <alignment horizontal="left" vertical="center" wrapText="1"/>
    </xf>
    <xf numFmtId="0" fontId="4" fillId="0" borderId="5" xfId="0" applyFont="1" applyBorder="1" applyAlignment="1">
      <alignment horizontal="center" vertical="center" wrapText="1"/>
    </xf>
    <xf numFmtId="0" fontId="0" fillId="0" borderId="47" xfId="0" applyFont="1" applyBorder="1" applyAlignment="1">
      <alignment vertical="center"/>
    </xf>
    <xf numFmtId="0" fontId="0" fillId="0" borderId="4" xfId="0" applyFont="1" applyBorder="1" applyAlignment="1">
      <alignment vertical="center" wrapText="1"/>
    </xf>
    <xf numFmtId="0" fontId="0" fillId="0" borderId="0" xfId="0" applyFont="1" applyBorder="1" applyAlignment="1">
      <alignment vertical="center" wrapText="1"/>
    </xf>
    <xf numFmtId="0" fontId="9" fillId="0" borderId="0" xfId="0" applyFont="1" applyBorder="1" applyAlignment="1">
      <alignment horizontal="center" vertical="center" wrapText="1"/>
    </xf>
    <xf numFmtId="0" fontId="0" fillId="0" borderId="65" xfId="0" applyFont="1" applyBorder="1" applyAlignment="1">
      <alignment vertical="center" wrapText="1"/>
    </xf>
    <xf numFmtId="3" fontId="4" fillId="0" borderId="1" xfId="0" applyNumberFormat="1" applyFont="1" applyBorder="1" applyAlignment="1">
      <alignment horizontal="center" vertical="center" wrapText="1"/>
    </xf>
    <xf numFmtId="0" fontId="5" fillId="0" borderId="49" xfId="0" applyFont="1" applyBorder="1" applyAlignment="1">
      <alignment vertical="center"/>
    </xf>
    <xf numFmtId="0" fontId="5" fillId="0" borderId="52" xfId="0" applyFont="1" applyBorder="1" applyAlignment="1">
      <alignment vertical="center"/>
    </xf>
    <xf numFmtId="0" fontId="0" fillId="0" borderId="62" xfId="0" applyFont="1" applyBorder="1" applyAlignment="1">
      <alignment vertical="center" wrapText="1"/>
    </xf>
    <xf numFmtId="3" fontId="3" fillId="0" borderId="1" xfId="0" applyNumberFormat="1" applyFont="1" applyBorder="1" applyAlignment="1">
      <alignment horizontal="center" vertical="center" wrapText="1"/>
    </xf>
    <xf numFmtId="0" fontId="0" fillId="0" borderId="35" xfId="0" applyFont="1" applyBorder="1" applyAlignment="1">
      <alignment vertical="center" wrapText="1"/>
    </xf>
    <xf numFmtId="0" fontId="0" fillId="0" borderId="20" xfId="0" applyFont="1" applyBorder="1" applyAlignment="1">
      <alignment vertical="center" wrapText="1"/>
    </xf>
    <xf numFmtId="3" fontId="3" fillId="0" borderId="15" xfId="0" applyNumberFormat="1" applyFont="1" applyBorder="1" applyAlignment="1">
      <alignment horizontal="center" vertical="center" wrapText="1"/>
    </xf>
    <xf numFmtId="3" fontId="0" fillId="0" borderId="17" xfId="0" applyNumberFormat="1" applyFont="1" applyBorder="1" applyAlignment="1">
      <alignment horizontal="center" vertical="center" wrapText="1"/>
    </xf>
    <xf numFmtId="3" fontId="3" fillId="0" borderId="17" xfId="0" applyNumberFormat="1" applyFont="1" applyBorder="1" applyAlignment="1">
      <alignment horizontal="center" vertical="center" wrapText="1"/>
    </xf>
    <xf numFmtId="3" fontId="3" fillId="0" borderId="18" xfId="0" applyNumberFormat="1" applyFont="1" applyBorder="1" applyAlignment="1">
      <alignment horizontal="center" vertical="center" wrapText="1"/>
    </xf>
    <xf numFmtId="3" fontId="0" fillId="6" borderId="70" xfId="0" applyNumberFormat="1" applyFont="1" applyFill="1" applyBorder="1" applyAlignment="1">
      <alignment vertical="center" wrapText="1"/>
    </xf>
    <xf numFmtId="3" fontId="0" fillId="3" borderId="69" xfId="0" applyNumberFormat="1" applyFont="1" applyFill="1" applyBorder="1" applyAlignment="1">
      <alignment vertical="center" wrapText="1"/>
    </xf>
    <xf numFmtId="0" fontId="13" fillId="0" borderId="2" xfId="0" applyFont="1" applyBorder="1" applyAlignment="1" applyProtection="1">
      <alignment horizontal="left" vertical="center" wrapText="1"/>
    </xf>
    <xf numFmtId="3" fontId="13" fillId="3" borderId="1" xfId="0" applyNumberFormat="1" applyFont="1" applyFill="1" applyBorder="1" applyAlignment="1">
      <alignment vertical="center" wrapText="1"/>
    </xf>
    <xf numFmtId="4" fontId="13" fillId="6" borderId="2" xfId="0" applyNumberFormat="1" applyFont="1" applyFill="1" applyBorder="1" applyAlignment="1">
      <alignment vertical="center" wrapText="1"/>
    </xf>
    <xf numFmtId="3" fontId="13" fillId="6" borderId="2" xfId="0" applyNumberFormat="1" applyFont="1" applyFill="1" applyBorder="1" applyAlignment="1">
      <alignment vertical="center" wrapText="1"/>
    </xf>
    <xf numFmtId="3" fontId="14" fillId="3" borderId="56" xfId="0" applyNumberFormat="1" applyFont="1" applyFill="1" applyBorder="1" applyAlignment="1">
      <alignment vertical="center" wrapText="1"/>
    </xf>
    <xf numFmtId="0" fontId="17" fillId="0" borderId="30" xfId="0" applyFont="1" applyBorder="1"/>
    <xf numFmtId="0" fontId="16" fillId="0" borderId="48" xfId="0" applyFont="1" applyBorder="1" applyAlignment="1">
      <alignment horizontal="center"/>
    </xf>
    <xf numFmtId="0" fontId="2" fillId="0" borderId="54" xfId="0" applyFont="1" applyBorder="1"/>
    <xf numFmtId="4" fontId="0" fillId="3" borderId="1" xfId="0" applyNumberFormat="1" applyFont="1" applyFill="1" applyBorder="1" applyAlignment="1">
      <alignment vertical="center" wrapText="1"/>
    </xf>
    <xf numFmtId="0" fontId="0" fillId="3" borderId="1" xfId="0" applyFont="1" applyFill="1" applyBorder="1" applyAlignment="1">
      <alignment vertical="center" wrapText="1"/>
    </xf>
    <xf numFmtId="0" fontId="0" fillId="0" borderId="71" xfId="0" applyBorder="1"/>
    <xf numFmtId="0" fontId="0" fillId="3" borderId="71" xfId="0" applyFill="1" applyBorder="1"/>
    <xf numFmtId="0" fontId="0" fillId="7" borderId="54" xfId="0" applyFill="1" applyBorder="1"/>
    <xf numFmtId="0" fontId="0" fillId="0" borderId="54" xfId="0" applyBorder="1"/>
    <xf numFmtId="0" fontId="0" fillId="11" borderId="1" xfId="0" applyFont="1" applyFill="1" applyBorder="1" applyAlignment="1">
      <alignment vertical="center" wrapText="1"/>
    </xf>
    <xf numFmtId="3" fontId="0" fillId="11" borderId="1" xfId="0" applyNumberFormat="1" applyFont="1" applyFill="1" applyBorder="1" applyAlignment="1">
      <alignment horizontal="center" vertical="center" wrapText="1"/>
    </xf>
    <xf numFmtId="0" fontId="4" fillId="10" borderId="1" xfId="0" applyFont="1" applyFill="1" applyBorder="1"/>
    <xf numFmtId="0" fontId="0" fillId="0" borderId="0" xfId="0" applyAlignment="1">
      <alignment vertical="center" wrapText="1"/>
    </xf>
    <xf numFmtId="0" fontId="7" fillId="3" borderId="1" xfId="0" applyFont="1" applyFill="1" applyBorder="1"/>
    <xf numFmtId="0" fontId="5" fillId="0" borderId="5" xfId="0" applyFont="1" applyBorder="1" applyAlignment="1">
      <alignment vertical="center" wrapText="1"/>
    </xf>
    <xf numFmtId="0" fontId="0" fillId="0" borderId="0" xfId="0" applyBorder="1" applyAlignment="1">
      <alignment vertical="center" wrapText="1"/>
    </xf>
    <xf numFmtId="0" fontId="20" fillId="0" borderId="0" xfId="0" applyFont="1" applyBorder="1" applyAlignment="1">
      <alignment horizontal="center" vertical="center" wrapText="1"/>
    </xf>
    <xf numFmtId="0" fontId="2" fillId="0" borderId="0" xfId="0" applyFont="1" applyFill="1" applyBorder="1" applyAlignment="1">
      <alignment vertical="center" wrapText="1"/>
    </xf>
    <xf numFmtId="0" fontId="0" fillId="0" borderId="0" xfId="0" applyFont="1"/>
    <xf numFmtId="0" fontId="5" fillId="8" borderId="5" xfId="0" applyFont="1" applyFill="1" applyBorder="1" applyAlignment="1">
      <alignment vertical="center" wrapText="1"/>
    </xf>
    <xf numFmtId="0" fontId="0" fillId="8" borderId="6" xfId="0" applyFont="1" applyFill="1" applyBorder="1" applyAlignment="1">
      <alignment horizontal="center" vertical="center" wrapText="1"/>
    </xf>
    <xf numFmtId="0" fontId="20" fillId="8" borderId="7" xfId="0" applyFont="1" applyFill="1" applyBorder="1" applyAlignment="1">
      <alignment horizontal="center" vertical="center" wrapText="1"/>
    </xf>
    <xf numFmtId="0" fontId="2" fillId="8" borderId="3" xfId="0" applyFont="1" applyFill="1" applyBorder="1" applyAlignment="1">
      <alignment vertical="center" wrapText="1"/>
    </xf>
    <xf numFmtId="0" fontId="2" fillId="8" borderId="1" xfId="0" applyFont="1" applyFill="1" applyBorder="1" applyAlignment="1">
      <alignment vertical="center" wrapText="1"/>
    </xf>
    <xf numFmtId="0" fontId="20" fillId="8" borderId="1" xfId="0" applyFont="1" applyFill="1" applyBorder="1" applyAlignment="1">
      <alignment horizontal="center" vertical="center" wrapText="1"/>
    </xf>
    <xf numFmtId="0" fontId="5" fillId="9" borderId="5" xfId="0" applyFont="1" applyFill="1" applyBorder="1" applyAlignment="1">
      <alignment vertical="center" wrapText="1"/>
    </xf>
    <xf numFmtId="0" fontId="0" fillId="9" borderId="7" xfId="0" applyFill="1" applyBorder="1" applyAlignment="1">
      <alignment vertical="center" wrapText="1"/>
    </xf>
    <xf numFmtId="0" fontId="0" fillId="9" borderId="72" xfId="0" applyFont="1" applyFill="1" applyBorder="1" applyAlignment="1">
      <alignment horizontal="left" vertical="center" wrapText="1"/>
    </xf>
    <xf numFmtId="0" fontId="5" fillId="3" borderId="5" xfId="0" applyFont="1" applyFill="1" applyBorder="1" applyAlignment="1">
      <alignment vertical="center" wrapText="1"/>
    </xf>
    <xf numFmtId="0" fontId="0" fillId="3" borderId="7" xfId="0" applyFill="1" applyBorder="1" applyAlignment="1">
      <alignment vertical="center" wrapText="1"/>
    </xf>
    <xf numFmtId="0" fontId="0" fillId="3" borderId="3" xfId="0" applyFill="1" applyBorder="1" applyAlignment="1">
      <alignment vertical="center" wrapText="1"/>
    </xf>
    <xf numFmtId="0" fontId="0" fillId="3" borderId="1" xfId="0" applyFill="1" applyBorder="1" applyAlignment="1">
      <alignment vertical="center" wrapText="1"/>
    </xf>
    <xf numFmtId="0" fontId="0"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0" fontId="9" fillId="0" borderId="0" xfId="0" applyFont="1" applyAlignment="1">
      <alignment vertical="center"/>
    </xf>
    <xf numFmtId="0" fontId="0" fillId="0" borderId="0" xfId="0" applyFill="1" applyBorder="1" applyAlignment="1">
      <alignment vertical="center" wrapText="1"/>
    </xf>
    <xf numFmtId="0" fontId="0" fillId="9" borderId="1" xfId="0" applyFont="1" applyFill="1" applyBorder="1" applyAlignment="1">
      <alignment horizontal="left" vertical="center" wrapText="1"/>
    </xf>
    <xf numFmtId="49" fontId="0" fillId="0" borderId="0" xfId="0" applyNumberFormat="1"/>
    <xf numFmtId="0" fontId="0" fillId="0" borderId="0" xfId="0" applyFill="1"/>
    <xf numFmtId="0" fontId="0" fillId="0" borderId="0" xfId="0" applyAlignment="1">
      <alignment wrapText="1"/>
    </xf>
    <xf numFmtId="0" fontId="21" fillId="0" borderId="0" xfId="0" applyFont="1"/>
    <xf numFmtId="0" fontId="0" fillId="0" borderId="1" xfId="0" applyBorder="1"/>
    <xf numFmtId="0" fontId="0" fillId="0" borderId="0" xfId="0" applyAlignment="1">
      <alignment horizontal="center" vertical="center"/>
    </xf>
    <xf numFmtId="0" fontId="4" fillId="0" borderId="9" xfId="0" applyFont="1" applyFill="1" applyBorder="1" applyAlignment="1">
      <alignment horizontal="center" vertical="center" wrapText="1" readingOrder="1"/>
    </xf>
    <xf numFmtId="0" fontId="23" fillId="16" borderId="1" xfId="0" applyFont="1" applyFill="1" applyBorder="1" applyAlignment="1">
      <alignment vertical="center" wrapText="1" readingOrder="1"/>
    </xf>
    <xf numFmtId="0" fontId="22" fillId="10" borderId="1" xfId="0" applyFont="1" applyFill="1" applyBorder="1" applyAlignment="1">
      <alignment vertical="center" wrapText="1"/>
    </xf>
    <xf numFmtId="0" fontId="23" fillId="10" borderId="1" xfId="0" applyFont="1" applyFill="1" applyBorder="1" applyAlignment="1">
      <alignment vertical="center" wrapText="1" readingOrder="1"/>
    </xf>
    <xf numFmtId="0" fontId="22" fillId="9" borderId="1" xfId="0" applyFont="1" applyFill="1" applyBorder="1" applyAlignment="1">
      <alignment vertical="center" wrapText="1"/>
    </xf>
    <xf numFmtId="0" fontId="23" fillId="9" borderId="1" xfId="0" applyFont="1" applyFill="1" applyBorder="1" applyAlignment="1">
      <alignment vertical="center" wrapText="1" readingOrder="1"/>
    </xf>
    <xf numFmtId="0" fontId="22" fillId="3" borderId="1" xfId="0" applyFont="1" applyFill="1" applyBorder="1" applyAlignment="1">
      <alignment vertical="center" wrapText="1"/>
    </xf>
    <xf numFmtId="0" fontId="23" fillId="3" borderId="1" xfId="0" applyFont="1" applyFill="1" applyBorder="1" applyAlignment="1">
      <alignment vertical="center" wrapText="1" readingOrder="1"/>
    </xf>
    <xf numFmtId="0" fontId="22" fillId="13" borderId="1" xfId="0" applyFont="1" applyFill="1" applyBorder="1" applyAlignment="1">
      <alignment vertical="center" wrapText="1"/>
    </xf>
    <xf numFmtId="0" fontId="23" fillId="13" borderId="1" xfId="0" applyFont="1" applyFill="1" applyBorder="1" applyAlignment="1">
      <alignment vertical="center" wrapText="1" readingOrder="1"/>
    </xf>
    <xf numFmtId="0" fontId="22" fillId="13" borderId="1" xfId="0" applyFont="1" applyFill="1" applyBorder="1"/>
    <xf numFmtId="0" fontId="22" fillId="14" borderId="1" xfId="0" applyFont="1" applyFill="1" applyBorder="1" applyAlignment="1">
      <alignment vertical="center" wrapText="1"/>
    </xf>
    <xf numFmtId="0" fontId="22" fillId="3" borderId="24" xfId="0" applyFont="1" applyFill="1" applyBorder="1" applyAlignment="1">
      <alignment vertical="center" wrapText="1"/>
    </xf>
    <xf numFmtId="0" fontId="23" fillId="3" borderId="17" xfId="0" applyFont="1" applyFill="1" applyBorder="1" applyAlignment="1">
      <alignment vertical="center" wrapText="1" readingOrder="1"/>
    </xf>
    <xf numFmtId="0" fontId="22" fillId="9" borderId="24" xfId="0" applyFont="1" applyFill="1" applyBorder="1" applyAlignment="1">
      <alignment vertical="center" wrapText="1"/>
    </xf>
    <xf numFmtId="0" fontId="23" fillId="9" borderId="17" xfId="0" applyFont="1" applyFill="1" applyBorder="1" applyAlignment="1">
      <alignment vertical="center" wrapText="1" readingOrder="1"/>
    </xf>
    <xf numFmtId="0" fontId="23" fillId="13" borderId="24" xfId="0" applyFont="1" applyFill="1" applyBorder="1" applyAlignment="1">
      <alignment vertical="center" wrapText="1" readingOrder="1"/>
    </xf>
    <xf numFmtId="0" fontId="23" fillId="13" borderId="17" xfId="0" applyFont="1" applyFill="1" applyBorder="1" applyAlignment="1">
      <alignment vertical="center" wrapText="1" readingOrder="1"/>
    </xf>
    <xf numFmtId="0" fontId="23" fillId="14" borderId="24" xfId="0" applyFont="1" applyFill="1" applyBorder="1" applyAlignment="1">
      <alignment vertical="center" wrapText="1" readingOrder="1"/>
    </xf>
    <xf numFmtId="0" fontId="23" fillId="14" borderId="17" xfId="0" applyFont="1" applyFill="1" applyBorder="1" applyAlignment="1">
      <alignment vertical="center" wrapText="1" readingOrder="1"/>
    </xf>
    <xf numFmtId="0" fontId="22" fillId="10" borderId="24" xfId="0" applyFont="1" applyFill="1" applyBorder="1" applyAlignment="1">
      <alignment vertical="center" wrapText="1"/>
    </xf>
    <xf numFmtId="0" fontId="23" fillId="10" borderId="17" xfId="0" applyFont="1" applyFill="1" applyBorder="1" applyAlignment="1">
      <alignment vertical="center" wrapText="1" readingOrder="1"/>
    </xf>
    <xf numFmtId="0" fontId="23" fillId="16" borderId="3" xfId="0" applyFont="1" applyFill="1" applyBorder="1" applyAlignment="1">
      <alignment vertical="center" wrapText="1" readingOrder="1"/>
    </xf>
    <xf numFmtId="0" fontId="24" fillId="13" borderId="17" xfId="0" applyFont="1" applyFill="1" applyBorder="1" applyAlignment="1">
      <alignment vertical="center" wrapText="1"/>
    </xf>
    <xf numFmtId="0" fontId="22" fillId="13" borderId="24" xfId="0" applyFont="1" applyFill="1" applyBorder="1" applyAlignment="1">
      <alignment vertical="center" wrapText="1"/>
    </xf>
    <xf numFmtId="0" fontId="0" fillId="13" borderId="8" xfId="0" applyFont="1" applyFill="1" applyBorder="1" applyAlignment="1">
      <alignment horizontal="left" vertical="center" wrapText="1" readingOrder="1"/>
    </xf>
    <xf numFmtId="0" fontId="23" fillId="13" borderId="9" xfId="0" applyFont="1" applyFill="1" applyBorder="1" applyAlignment="1">
      <alignment vertical="center" wrapText="1" readingOrder="1"/>
    </xf>
    <xf numFmtId="0" fontId="24" fillId="13" borderId="24" xfId="0" applyFont="1" applyFill="1" applyBorder="1" applyAlignment="1">
      <alignment vertical="center" wrapText="1"/>
    </xf>
    <xf numFmtId="0" fontId="22" fillId="14" borderId="24" xfId="0" applyFont="1" applyFill="1" applyBorder="1" applyAlignment="1">
      <alignment vertical="center" wrapText="1"/>
    </xf>
    <xf numFmtId="0" fontId="4" fillId="0" borderId="40" xfId="0" applyFont="1" applyFill="1" applyBorder="1" applyAlignment="1">
      <alignment horizontal="center" vertical="center" wrapText="1" readingOrder="1"/>
    </xf>
    <xf numFmtId="0" fontId="4" fillId="0" borderId="48" xfId="0" applyFont="1" applyBorder="1" applyAlignment="1">
      <alignment horizontal="center" vertical="center" wrapText="1" readingOrder="1"/>
    </xf>
    <xf numFmtId="0" fontId="23" fillId="10" borderId="24" xfId="0" applyFont="1" applyFill="1" applyBorder="1" applyAlignment="1">
      <alignment vertical="center" wrapText="1" readingOrder="1"/>
    </xf>
    <xf numFmtId="0" fontId="15" fillId="0" borderId="2" xfId="0" applyFont="1" applyBorder="1"/>
    <xf numFmtId="0" fontId="0" fillId="0" borderId="1" xfId="0" applyFill="1" applyBorder="1"/>
    <xf numFmtId="0" fontId="4" fillId="0" borderId="0" xfId="0" applyFont="1" applyFill="1" applyBorder="1" applyAlignment="1">
      <alignment horizontal="center" vertical="center" wrapText="1" readingOrder="1"/>
    </xf>
    <xf numFmtId="0" fontId="2" fillId="17" borderId="71" xfId="0" applyFont="1" applyFill="1" applyBorder="1"/>
    <xf numFmtId="0" fontId="2" fillId="18" borderId="71" xfId="0" applyFont="1" applyFill="1" applyBorder="1"/>
    <xf numFmtId="0" fontId="2" fillId="15" borderId="71" xfId="0" applyFont="1" applyFill="1" applyBorder="1"/>
    <xf numFmtId="0" fontId="20" fillId="0" borderId="71" xfId="0" applyFont="1" applyBorder="1"/>
    <xf numFmtId="0" fontId="8" fillId="0" borderId="0" xfId="0" applyFont="1"/>
    <xf numFmtId="0" fontId="0" fillId="11" borderId="19" xfId="0" applyFill="1" applyBorder="1"/>
    <xf numFmtId="0" fontId="0" fillId="11" borderId="14" xfId="0" applyFill="1" applyBorder="1" applyAlignment="1">
      <alignment horizontal="center"/>
    </xf>
    <xf numFmtId="0" fontId="0" fillId="11" borderId="15" xfId="0" applyFill="1" applyBorder="1"/>
    <xf numFmtId="0" fontId="0" fillId="11" borderId="7" xfId="0" applyFill="1" applyBorder="1"/>
    <xf numFmtId="0" fontId="0" fillId="0" borderId="45" xfId="0" applyBorder="1"/>
    <xf numFmtId="0" fontId="25" fillId="0" borderId="1" xfId="0" applyFont="1" applyBorder="1" applyAlignment="1">
      <alignment horizontal="center" vertical="center" wrapText="1"/>
    </xf>
    <xf numFmtId="3" fontId="0" fillId="8" borderId="3" xfId="0" applyNumberFormat="1" applyFont="1" applyFill="1" applyBorder="1" applyAlignment="1">
      <alignment horizontal="center" vertical="center" wrapText="1"/>
    </xf>
    <xf numFmtId="3" fontId="0" fillId="0" borderId="0" xfId="0" applyNumberFormat="1" applyFont="1" applyFill="1" applyBorder="1" applyAlignment="1">
      <alignment horizontal="center" vertical="center" wrapText="1"/>
    </xf>
    <xf numFmtId="3" fontId="0" fillId="0" borderId="0" xfId="0" applyNumberFormat="1" applyFont="1" applyBorder="1" applyAlignment="1">
      <alignment horizontal="center" vertical="center" wrapText="1"/>
    </xf>
    <xf numFmtId="3" fontId="0" fillId="9" borderId="6" xfId="0" applyNumberFormat="1" applyFont="1" applyFill="1" applyBorder="1" applyAlignment="1">
      <alignment horizontal="center" vertical="center" wrapText="1"/>
    </xf>
    <xf numFmtId="3" fontId="0" fillId="9" borderId="72" xfId="0" applyNumberFormat="1" applyFont="1" applyFill="1" applyBorder="1" applyAlignment="1">
      <alignment horizontal="center" vertical="center" wrapText="1"/>
    </xf>
    <xf numFmtId="3" fontId="0" fillId="3" borderId="6" xfId="0" applyNumberFormat="1" applyFont="1" applyFill="1" applyBorder="1" applyAlignment="1">
      <alignment horizontal="center" vertical="center" wrapText="1"/>
    </xf>
    <xf numFmtId="3" fontId="0" fillId="3" borderId="3" xfId="0" applyNumberFormat="1" applyFont="1" applyFill="1" applyBorder="1" applyAlignment="1">
      <alignment horizontal="center" vertical="center" wrapText="1"/>
    </xf>
    <xf numFmtId="3" fontId="0" fillId="0" borderId="0" xfId="0" applyNumberFormat="1" applyFont="1" applyAlignment="1">
      <alignment horizontal="center"/>
    </xf>
    <xf numFmtId="3" fontId="0" fillId="9" borderId="1" xfId="0" applyNumberFormat="1" applyFont="1" applyFill="1" applyBorder="1" applyAlignment="1">
      <alignment horizontal="center" vertical="center" wrapText="1"/>
    </xf>
    <xf numFmtId="3" fontId="4" fillId="12" borderId="1" xfId="0" applyNumberFormat="1" applyFont="1" applyFill="1" applyBorder="1" applyAlignment="1">
      <alignment horizontal="center" vertical="center" wrapText="1"/>
    </xf>
    <xf numFmtId="0" fontId="2" fillId="0" borderId="1" xfId="0" applyFont="1" applyBorder="1" applyAlignment="1">
      <alignment vertical="center" wrapText="1"/>
    </xf>
    <xf numFmtId="0" fontId="2" fillId="3" borderId="49" xfId="0" applyFont="1" applyFill="1" applyBorder="1" applyAlignment="1">
      <alignment vertical="center" wrapText="1"/>
    </xf>
    <xf numFmtId="3" fontId="0" fillId="3" borderId="47" xfId="0" applyNumberFormat="1" applyFont="1" applyFill="1" applyBorder="1" applyAlignment="1">
      <alignment horizontal="center" vertical="center" wrapText="1"/>
    </xf>
    <xf numFmtId="0" fontId="2" fillId="3" borderId="70" xfId="0" applyFont="1" applyFill="1" applyBorder="1" applyAlignment="1">
      <alignment vertical="center" wrapText="1"/>
    </xf>
    <xf numFmtId="3" fontId="0" fillId="3" borderId="69" xfId="0" applyNumberFormat="1" applyFont="1" applyFill="1" applyBorder="1" applyAlignment="1">
      <alignment horizontal="center" vertical="center" wrapText="1"/>
    </xf>
    <xf numFmtId="0" fontId="5" fillId="3" borderId="70" xfId="0" applyFont="1" applyFill="1" applyBorder="1" applyAlignment="1">
      <alignment vertical="center" wrapText="1"/>
    </xf>
    <xf numFmtId="3" fontId="0" fillId="3" borderId="69" xfId="0" applyNumberFormat="1" applyFill="1" applyBorder="1" applyAlignment="1">
      <alignment vertical="center" wrapText="1"/>
    </xf>
    <xf numFmtId="3" fontId="4" fillId="3" borderId="69" xfId="0" applyNumberFormat="1" applyFont="1" applyFill="1" applyBorder="1" applyAlignment="1">
      <alignment vertical="center" wrapText="1"/>
    </xf>
    <xf numFmtId="0" fontId="5" fillId="3" borderId="52" xfId="0" applyFont="1" applyFill="1" applyBorder="1" applyAlignment="1">
      <alignment vertical="center" wrapText="1"/>
    </xf>
    <xf numFmtId="3" fontId="5" fillId="3" borderId="4" xfId="0" applyNumberFormat="1" applyFont="1" applyFill="1" applyBorder="1" applyAlignment="1">
      <alignment horizontal="center" vertical="center" wrapText="1"/>
    </xf>
    <xf numFmtId="0" fontId="5" fillId="3" borderId="49" xfId="0" applyFont="1" applyFill="1" applyBorder="1" applyAlignment="1">
      <alignment vertical="center"/>
    </xf>
    <xf numFmtId="0" fontId="0" fillId="3" borderId="73" xfId="0" applyFill="1" applyBorder="1" applyAlignment="1"/>
    <xf numFmtId="0" fontId="0" fillId="3" borderId="73" xfId="0" applyFill="1" applyBorder="1"/>
    <xf numFmtId="0" fontId="0" fillId="3" borderId="47" xfId="0" applyFill="1" applyBorder="1"/>
    <xf numFmtId="0" fontId="0" fillId="3" borderId="70" xfId="0" applyFill="1" applyBorder="1"/>
    <xf numFmtId="0" fontId="0" fillId="3" borderId="0" xfId="0" applyFill="1" applyBorder="1"/>
    <xf numFmtId="0" fontId="0" fillId="3" borderId="69" xfId="0" applyFill="1" applyBorder="1"/>
    <xf numFmtId="0" fontId="5" fillId="3" borderId="70" xfId="0" applyFont="1" applyFill="1" applyBorder="1" applyAlignment="1">
      <alignment vertical="center"/>
    </xf>
    <xf numFmtId="0" fontId="20" fillId="3" borderId="0" xfId="0" applyFont="1" applyFill="1" applyBorder="1" applyAlignment="1">
      <alignment horizontal="center" wrapText="1"/>
    </xf>
    <xf numFmtId="0" fontId="0" fillId="3" borderId="69" xfId="0" applyFill="1" applyBorder="1" applyAlignment="1">
      <alignment wrapText="1"/>
    </xf>
    <xf numFmtId="0" fontId="0" fillId="3" borderId="70" xfId="0" applyFill="1" applyBorder="1" applyAlignment="1">
      <alignment vertical="center" wrapText="1"/>
    </xf>
    <xf numFmtId="0" fontId="0" fillId="3" borderId="0" xfId="0" applyFill="1" applyBorder="1" applyAlignment="1">
      <alignment vertical="center" wrapText="1"/>
    </xf>
    <xf numFmtId="0" fontId="0" fillId="3" borderId="0" xfId="0" applyFill="1" applyBorder="1" applyAlignment="1">
      <alignment wrapText="1"/>
    </xf>
    <xf numFmtId="0" fontId="2" fillId="3" borderId="70" xfId="0" applyFont="1" applyFill="1" applyBorder="1" applyAlignment="1">
      <alignment vertical="center"/>
    </xf>
    <xf numFmtId="0" fontId="0" fillId="3" borderId="52" xfId="0" applyFill="1" applyBorder="1" applyAlignment="1">
      <alignment vertical="center" wrapText="1"/>
    </xf>
    <xf numFmtId="0" fontId="0" fillId="3" borderId="74" xfId="0" applyFill="1" applyBorder="1"/>
    <xf numFmtId="0" fontId="0" fillId="3" borderId="74" xfId="0" applyFill="1" applyBorder="1" applyAlignment="1">
      <alignment vertical="center" wrapText="1"/>
    </xf>
    <xf numFmtId="0" fontId="0" fillId="3" borderId="4" xfId="0" applyFill="1" applyBorder="1"/>
    <xf numFmtId="0" fontId="27" fillId="0" borderId="0" xfId="1" applyFont="1"/>
    <xf numFmtId="0" fontId="26" fillId="0" borderId="71" xfId="1" applyBorder="1"/>
    <xf numFmtId="0" fontId="26" fillId="0" borderId="54" xfId="1" applyFill="1" applyBorder="1"/>
    <xf numFmtId="0" fontId="4" fillId="0" borderId="30" xfId="0" applyFont="1" applyFill="1" applyBorder="1"/>
    <xf numFmtId="0" fontId="24" fillId="16" borderId="17" xfId="0" applyFont="1" applyFill="1" applyBorder="1" applyAlignment="1">
      <alignment vertical="center" wrapText="1"/>
    </xf>
    <xf numFmtId="0" fontId="2" fillId="0" borderId="1" xfId="0" applyFont="1" applyBorder="1" applyAlignment="1">
      <alignment horizontal="center" vertical="center" wrapText="1"/>
    </xf>
    <xf numFmtId="0" fontId="1" fillId="3" borderId="1" xfId="0" applyFont="1" applyFill="1" applyBorder="1" applyAlignment="1">
      <alignment vertical="center" wrapText="1"/>
    </xf>
    <xf numFmtId="0" fontId="0" fillId="3" borderId="1" xfId="0" applyFont="1" applyFill="1" applyBorder="1" applyAlignment="1">
      <alignment horizontal="center" vertical="center" wrapText="1"/>
    </xf>
    <xf numFmtId="3" fontId="4" fillId="4" borderId="59" xfId="0" applyNumberFormat="1" applyFont="1" applyFill="1" applyBorder="1" applyAlignment="1">
      <alignment horizontal="right" vertical="center" wrapText="1"/>
    </xf>
    <xf numFmtId="3" fontId="4" fillId="4" borderId="72" xfId="0" applyNumberFormat="1" applyFont="1" applyFill="1" applyBorder="1" applyAlignment="1">
      <alignment horizontal="right" vertical="center" wrapText="1"/>
    </xf>
    <xf numFmtId="0" fontId="2" fillId="0" borderId="46"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27" xfId="0" applyFont="1" applyBorder="1" applyAlignment="1">
      <alignment horizontal="center" vertical="center" wrapText="1"/>
    </xf>
    <xf numFmtId="0" fontId="31" fillId="3" borderId="17" xfId="0" applyFont="1" applyFill="1" applyBorder="1" applyAlignment="1">
      <alignment horizontal="center" vertical="center" wrapText="1"/>
    </xf>
    <xf numFmtId="3" fontId="31" fillId="3" borderId="3" xfId="0" applyNumberFormat="1" applyFont="1" applyFill="1" applyBorder="1" applyAlignment="1">
      <alignment horizontal="center" vertical="center" wrapText="1"/>
    </xf>
    <xf numFmtId="3" fontId="31" fillId="3" borderId="1" xfId="0" applyNumberFormat="1" applyFont="1" applyFill="1" applyBorder="1" applyAlignment="1">
      <alignment horizontal="center" vertical="center" wrapText="1"/>
    </xf>
    <xf numFmtId="0" fontId="0" fillId="0" borderId="1"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73" xfId="0" applyFont="1" applyBorder="1" applyAlignment="1">
      <alignment horizontal="center" vertical="center" wrapText="1"/>
    </xf>
    <xf numFmtId="0" fontId="0" fillId="0" borderId="0" xfId="0" applyFont="1" applyBorder="1" applyAlignment="1">
      <alignment horizontal="center" vertical="center" wrapText="1"/>
    </xf>
    <xf numFmtId="0" fontId="4" fillId="0" borderId="41" xfId="0" applyFont="1" applyFill="1" applyBorder="1" applyAlignment="1">
      <alignment horizontal="center" vertical="center" wrapText="1" readingOrder="1"/>
    </xf>
    <xf numFmtId="0" fontId="4" fillId="0" borderId="48" xfId="0" applyFont="1" applyFill="1" applyBorder="1" applyAlignment="1">
      <alignment horizontal="center" vertical="center" wrapText="1" readingOrder="1"/>
    </xf>
    <xf numFmtId="0" fontId="22" fillId="13" borderId="76" xfId="0" applyFont="1" applyFill="1" applyBorder="1" applyAlignment="1">
      <alignment horizontal="center" vertical="center" wrapText="1"/>
    </xf>
    <xf numFmtId="0" fontId="22" fillId="13" borderId="77" xfId="0" applyFont="1" applyFill="1" applyBorder="1" applyAlignment="1">
      <alignment horizontal="center" vertical="center" wrapText="1"/>
    </xf>
    <xf numFmtId="0" fontId="22" fillId="13" borderId="5" xfId="0" applyFont="1" applyFill="1" applyBorder="1" applyAlignment="1">
      <alignment horizontal="center" vertical="center" wrapText="1"/>
    </xf>
    <xf numFmtId="0" fontId="22" fillId="13" borderId="32" xfId="0" applyFont="1" applyFill="1" applyBorder="1" applyAlignment="1">
      <alignment horizontal="center" vertical="center" wrapText="1"/>
    </xf>
    <xf numFmtId="0" fontId="23" fillId="13" borderId="5" xfId="0" applyFont="1" applyFill="1" applyBorder="1" applyAlignment="1">
      <alignment horizontal="center" vertical="center" wrapText="1" readingOrder="1"/>
    </xf>
    <xf numFmtId="0" fontId="23" fillId="13" borderId="32" xfId="0" applyFont="1" applyFill="1" applyBorder="1" applyAlignment="1">
      <alignment horizontal="center" vertical="center" wrapText="1" readingOrder="1"/>
    </xf>
    <xf numFmtId="0" fontId="23" fillId="13" borderId="50" xfId="0" applyFont="1" applyFill="1" applyBorder="1" applyAlignment="1">
      <alignment horizontal="center" vertical="center" wrapText="1" readingOrder="1"/>
    </xf>
    <xf numFmtId="0" fontId="23" fillId="13" borderId="33" xfId="0" applyFont="1" applyFill="1" applyBorder="1" applyAlignment="1">
      <alignment horizontal="center" vertical="center" wrapText="1" readingOrder="1"/>
    </xf>
    <xf numFmtId="0" fontId="22" fillId="13" borderId="5" xfId="0" applyFont="1" applyFill="1" applyBorder="1" applyAlignment="1">
      <alignment horizontal="center" vertical="center"/>
    </xf>
    <xf numFmtId="0" fontId="22" fillId="13" borderId="32" xfId="0" applyFont="1" applyFill="1" applyBorder="1" applyAlignment="1">
      <alignment horizontal="center" vertical="center"/>
    </xf>
    <xf numFmtId="0" fontId="23" fillId="13" borderId="76" xfId="0" applyFont="1" applyFill="1" applyBorder="1" applyAlignment="1">
      <alignment horizontal="center" vertical="center" wrapText="1" readingOrder="1"/>
    </xf>
    <xf numFmtId="0" fontId="23" fillId="13" borderId="77" xfId="0" applyFont="1" applyFill="1" applyBorder="1" applyAlignment="1">
      <alignment horizontal="center" vertical="center" wrapText="1" readingOrder="1"/>
    </xf>
    <xf numFmtId="0" fontId="23" fillId="13" borderId="41" xfId="0" applyFont="1" applyFill="1" applyBorder="1" applyAlignment="1">
      <alignment horizontal="center" vertical="center" wrapText="1" readingOrder="1"/>
    </xf>
    <xf numFmtId="0" fontId="23" fillId="13" borderId="48" xfId="0" applyFont="1" applyFill="1" applyBorder="1" applyAlignment="1">
      <alignment horizontal="center" vertical="center" wrapText="1" readingOrder="1"/>
    </xf>
    <xf numFmtId="0" fontId="24" fillId="13" borderId="76" xfId="0" applyFont="1" applyFill="1" applyBorder="1" applyAlignment="1">
      <alignment horizontal="center" vertical="center" wrapText="1"/>
    </xf>
    <xf numFmtId="0" fontId="24" fillId="13" borderId="77" xfId="0" applyFont="1" applyFill="1" applyBorder="1" applyAlignment="1">
      <alignment horizontal="center" vertical="center" wrapText="1"/>
    </xf>
    <xf numFmtId="0" fontId="24" fillId="13" borderId="50" xfId="0" applyFont="1" applyFill="1" applyBorder="1" applyAlignment="1">
      <alignment horizontal="center" vertical="center" wrapText="1"/>
    </xf>
    <xf numFmtId="0" fontId="24" fillId="13" borderId="33" xfId="0" applyFont="1" applyFill="1" applyBorder="1" applyAlignment="1">
      <alignment horizontal="center" vertical="center" wrapText="1"/>
    </xf>
    <xf numFmtId="0" fontId="22" fillId="3" borderId="76" xfId="0" applyFont="1" applyFill="1" applyBorder="1" applyAlignment="1">
      <alignment horizontal="center" vertical="center" wrapText="1"/>
    </xf>
    <xf numFmtId="0" fontId="22" fillId="3" borderId="77"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22" fillId="3" borderId="32" xfId="0" applyFont="1" applyFill="1" applyBorder="1" applyAlignment="1">
      <alignment horizontal="center" vertical="center" wrapText="1"/>
    </xf>
    <xf numFmtId="0" fontId="23" fillId="3" borderId="5" xfId="0" applyFont="1" applyFill="1" applyBorder="1" applyAlignment="1">
      <alignment horizontal="center" vertical="center" wrapText="1" readingOrder="1"/>
    </xf>
    <xf numFmtId="0" fontId="23" fillId="3" borderId="32" xfId="0" applyFont="1" applyFill="1" applyBorder="1" applyAlignment="1">
      <alignment horizontal="center" vertical="center" wrapText="1" readingOrder="1"/>
    </xf>
    <xf numFmtId="0" fontId="23" fillId="3" borderId="50" xfId="0" applyFont="1" applyFill="1" applyBorder="1" applyAlignment="1">
      <alignment horizontal="center" vertical="center" wrapText="1" readingOrder="1"/>
    </xf>
    <xf numFmtId="0" fontId="23" fillId="3" borderId="33" xfId="0" applyFont="1" applyFill="1" applyBorder="1" applyAlignment="1">
      <alignment horizontal="center" vertical="center" wrapText="1" readingOrder="1"/>
    </xf>
    <xf numFmtId="0" fontId="22" fillId="9" borderId="76" xfId="0" applyFont="1" applyFill="1" applyBorder="1" applyAlignment="1">
      <alignment horizontal="center" vertical="center" wrapText="1"/>
    </xf>
    <xf numFmtId="0" fontId="22" fillId="9" borderId="77" xfId="0" applyFont="1" applyFill="1" applyBorder="1" applyAlignment="1">
      <alignment horizontal="center" vertical="center" wrapText="1"/>
    </xf>
    <xf numFmtId="0" fontId="22" fillId="9" borderId="5" xfId="0" applyFont="1" applyFill="1" applyBorder="1" applyAlignment="1">
      <alignment horizontal="center" vertical="center" wrapText="1"/>
    </xf>
    <xf numFmtId="0" fontId="22" fillId="9" borderId="32" xfId="0" applyFont="1" applyFill="1" applyBorder="1" applyAlignment="1">
      <alignment horizontal="center" vertical="center" wrapText="1"/>
    </xf>
    <xf numFmtId="0" fontId="23" fillId="9" borderId="5" xfId="0" applyFont="1" applyFill="1" applyBorder="1" applyAlignment="1">
      <alignment horizontal="center" vertical="center" wrapText="1" readingOrder="1"/>
    </xf>
    <xf numFmtId="0" fontId="23" fillId="9" borderId="32" xfId="0" applyFont="1" applyFill="1" applyBorder="1" applyAlignment="1">
      <alignment horizontal="center" vertical="center" wrapText="1" readingOrder="1"/>
    </xf>
    <xf numFmtId="0" fontId="23" fillId="9" borderId="50" xfId="0" applyFont="1" applyFill="1" applyBorder="1" applyAlignment="1">
      <alignment horizontal="center" vertical="center" wrapText="1" readingOrder="1"/>
    </xf>
    <xf numFmtId="0" fontId="23" fillId="9" borderId="33" xfId="0" applyFont="1" applyFill="1" applyBorder="1" applyAlignment="1">
      <alignment horizontal="center" vertical="center" wrapText="1" readingOrder="1"/>
    </xf>
    <xf numFmtId="0" fontId="23" fillId="14" borderId="76" xfId="0" applyFont="1" applyFill="1" applyBorder="1" applyAlignment="1">
      <alignment horizontal="center" vertical="center" wrapText="1" readingOrder="1"/>
    </xf>
    <xf numFmtId="0" fontId="23" fillId="14" borderId="77" xfId="0" applyFont="1" applyFill="1" applyBorder="1" applyAlignment="1">
      <alignment horizontal="center" vertical="center" wrapText="1" readingOrder="1"/>
    </xf>
    <xf numFmtId="0" fontId="23" fillId="14" borderId="50" xfId="0" applyFont="1" applyFill="1" applyBorder="1" applyAlignment="1">
      <alignment horizontal="center" vertical="center" wrapText="1" readingOrder="1"/>
    </xf>
    <xf numFmtId="0" fontId="23" fillId="14" borderId="33" xfId="0" applyFont="1" applyFill="1" applyBorder="1" applyAlignment="1">
      <alignment horizontal="center" vertical="center" wrapText="1" readingOrder="1"/>
    </xf>
    <xf numFmtId="0" fontId="22" fillId="14" borderId="76" xfId="0" applyFont="1" applyFill="1" applyBorder="1" applyAlignment="1">
      <alignment horizontal="center" vertical="center" wrapText="1"/>
    </xf>
    <xf numFmtId="0" fontId="22" fillId="14" borderId="77" xfId="0" applyFont="1" applyFill="1" applyBorder="1" applyAlignment="1">
      <alignment horizontal="center" vertical="center" wrapText="1"/>
    </xf>
    <xf numFmtId="0" fontId="22" fillId="14" borderId="5" xfId="0" applyFont="1" applyFill="1" applyBorder="1" applyAlignment="1">
      <alignment horizontal="center" vertical="center" wrapText="1"/>
    </xf>
    <xf numFmtId="0" fontId="22" fillId="14" borderId="32" xfId="0" applyFont="1" applyFill="1" applyBorder="1" applyAlignment="1">
      <alignment horizontal="center" vertical="center" wrapText="1"/>
    </xf>
    <xf numFmtId="0" fontId="22" fillId="10" borderId="76" xfId="0" applyFont="1" applyFill="1" applyBorder="1" applyAlignment="1">
      <alignment horizontal="center" vertical="center" wrapText="1"/>
    </xf>
    <xf numFmtId="0" fontId="22" fillId="10" borderId="77" xfId="0" applyFont="1" applyFill="1" applyBorder="1" applyAlignment="1">
      <alignment horizontal="center" vertical="center" wrapText="1"/>
    </xf>
    <xf numFmtId="0" fontId="22" fillId="10" borderId="5" xfId="0" applyFont="1" applyFill="1" applyBorder="1" applyAlignment="1">
      <alignment horizontal="center" vertical="center" wrapText="1"/>
    </xf>
    <xf numFmtId="0" fontId="22" fillId="10" borderId="32" xfId="0" applyFont="1" applyFill="1" applyBorder="1" applyAlignment="1">
      <alignment horizontal="center" vertical="center" wrapText="1"/>
    </xf>
    <xf numFmtId="0" fontId="23" fillId="10" borderId="5" xfId="0" applyFont="1" applyFill="1" applyBorder="1" applyAlignment="1">
      <alignment horizontal="center" vertical="center" wrapText="1" readingOrder="1"/>
    </xf>
    <xf numFmtId="0" fontId="23" fillId="10" borderId="32" xfId="0" applyFont="1" applyFill="1" applyBorder="1" applyAlignment="1">
      <alignment horizontal="center" vertical="center" wrapText="1" readingOrder="1"/>
    </xf>
    <xf numFmtId="0" fontId="23" fillId="10" borderId="50" xfId="0" applyFont="1" applyFill="1" applyBorder="1" applyAlignment="1">
      <alignment horizontal="center" vertical="center" wrapText="1" readingOrder="1"/>
    </xf>
    <xf numFmtId="0" fontId="23" fillId="10" borderId="33" xfId="0" applyFont="1" applyFill="1" applyBorder="1" applyAlignment="1">
      <alignment horizontal="center" vertical="center" wrapText="1" readingOrder="1"/>
    </xf>
    <xf numFmtId="0" fontId="23" fillId="10" borderId="76" xfId="0" applyFont="1" applyFill="1" applyBorder="1" applyAlignment="1">
      <alignment horizontal="center" vertical="center" wrapText="1" readingOrder="1"/>
    </xf>
    <xf numFmtId="0" fontId="23" fillId="10" borderId="77" xfId="0" applyFont="1" applyFill="1" applyBorder="1" applyAlignment="1">
      <alignment horizontal="center" vertical="center" wrapText="1" readingOrder="1"/>
    </xf>
    <xf numFmtId="0" fontId="1" fillId="19" borderId="8" xfId="0" applyFont="1" applyFill="1" applyBorder="1" applyAlignment="1">
      <alignment horizontal="left" vertical="center" wrapText="1" readingOrder="1"/>
    </xf>
    <xf numFmtId="0" fontId="33" fillId="19" borderId="24" xfId="0" applyFont="1" applyFill="1" applyBorder="1" applyAlignment="1">
      <alignment vertical="center" wrapText="1" readingOrder="1"/>
    </xf>
    <xf numFmtId="0" fontId="33" fillId="19" borderId="76" xfId="0" applyFont="1" applyFill="1" applyBorder="1" applyAlignment="1">
      <alignment horizontal="center" vertical="center" wrapText="1" readingOrder="1"/>
    </xf>
    <xf numFmtId="0" fontId="33" fillId="19" borderId="77" xfId="0" applyFont="1" applyFill="1" applyBorder="1" applyAlignment="1">
      <alignment horizontal="center" vertical="center" wrapText="1" readingOrder="1"/>
    </xf>
    <xf numFmtId="0" fontId="23" fillId="19" borderId="1" xfId="0" applyFont="1" applyFill="1" applyBorder="1" applyAlignment="1">
      <alignment vertical="center" wrapText="1" readingOrder="1"/>
    </xf>
    <xf numFmtId="0" fontId="23" fillId="19" borderId="5" xfId="0" applyFont="1" applyFill="1" applyBorder="1" applyAlignment="1">
      <alignment horizontal="center" vertical="center" wrapText="1" readingOrder="1"/>
    </xf>
    <xf numFmtId="0" fontId="23" fillId="19" borderId="32" xfId="0" applyFont="1" applyFill="1" applyBorder="1" applyAlignment="1">
      <alignment horizontal="center" vertical="center" wrapText="1" readingOrder="1"/>
    </xf>
    <xf numFmtId="0" fontId="23" fillId="19" borderId="17" xfId="0" applyFont="1" applyFill="1" applyBorder="1" applyAlignment="1">
      <alignment vertical="center" wrapText="1" readingOrder="1"/>
    </xf>
    <xf numFmtId="0" fontId="23" fillId="19" borderId="50" xfId="0" applyFont="1" applyFill="1" applyBorder="1" applyAlignment="1">
      <alignment horizontal="center" vertical="center" wrapText="1" readingOrder="1"/>
    </xf>
    <xf numFmtId="0" fontId="23" fillId="19" borderId="33" xfId="0" applyFont="1" applyFill="1" applyBorder="1" applyAlignment="1">
      <alignment horizontal="center" vertical="center" wrapText="1" readingOrder="1"/>
    </xf>
    <xf numFmtId="0" fontId="0" fillId="16" borderId="4" xfId="0" applyFont="1" applyFill="1" applyBorder="1" applyAlignment="1">
      <alignment horizontal="left" vertical="center" wrapText="1" readingOrder="1"/>
    </xf>
    <xf numFmtId="0" fontId="23" fillId="16" borderId="52" xfId="0" applyFont="1" applyFill="1" applyBorder="1" applyAlignment="1">
      <alignment horizontal="center" vertical="center" wrapText="1" readingOrder="1"/>
    </xf>
    <xf numFmtId="0" fontId="23" fillId="16" borderId="31" xfId="0" applyFont="1" applyFill="1" applyBorder="1" applyAlignment="1">
      <alignment horizontal="center" vertical="center" wrapText="1" readingOrder="1"/>
    </xf>
    <xf numFmtId="0" fontId="0" fillId="16" borderId="7" xfId="0" applyFont="1" applyFill="1" applyBorder="1" applyAlignment="1">
      <alignment horizontal="left" vertical="center" wrapText="1" readingOrder="1"/>
    </xf>
    <xf numFmtId="0" fontId="23" fillId="16" borderId="5" xfId="0" applyFont="1" applyFill="1" applyBorder="1" applyAlignment="1">
      <alignment horizontal="center" vertical="center" wrapText="1" readingOrder="1"/>
    </xf>
    <xf numFmtId="0" fontId="23" fillId="16" borderId="32" xfId="0" applyFont="1" applyFill="1" applyBorder="1" applyAlignment="1">
      <alignment horizontal="center" vertical="center" wrapText="1" readingOrder="1"/>
    </xf>
    <xf numFmtId="0" fontId="24" fillId="16" borderId="29" xfId="0" applyFont="1" applyFill="1" applyBorder="1" applyAlignment="1">
      <alignment horizontal="left" vertical="center" wrapText="1" readingOrder="1"/>
    </xf>
    <xf numFmtId="0" fontId="24" fillId="16" borderId="50" xfId="0" applyFont="1" applyFill="1" applyBorder="1" applyAlignment="1">
      <alignment horizontal="center" vertical="center" wrapText="1"/>
    </xf>
    <xf numFmtId="0" fontId="24" fillId="16" borderId="33" xfId="0" applyFont="1" applyFill="1" applyBorder="1" applyAlignment="1">
      <alignment horizontal="center" vertical="center" wrapText="1"/>
    </xf>
    <xf numFmtId="0" fontId="22" fillId="0" borderId="0" xfId="0" applyFont="1" applyFill="1" applyBorder="1" applyAlignment="1">
      <alignment horizontal="center" vertical="center" wrapText="1"/>
    </xf>
    <xf numFmtId="0" fontId="23" fillId="0" borderId="0" xfId="0" applyFont="1" applyFill="1" applyBorder="1" applyAlignment="1">
      <alignment horizontal="center" vertical="center" wrapText="1" readingOrder="1"/>
    </xf>
    <xf numFmtId="0" fontId="22" fillId="0" borderId="0" xfId="0" applyFont="1" applyFill="1" applyBorder="1" applyAlignment="1">
      <alignment horizontal="center" vertical="center"/>
    </xf>
    <xf numFmtId="0" fontId="24" fillId="0" borderId="0" xfId="0" applyFont="1" applyFill="1" applyBorder="1" applyAlignment="1">
      <alignment horizontal="center" vertical="center" wrapText="1"/>
    </xf>
    <xf numFmtId="0" fontId="24" fillId="0" borderId="0" xfId="0" applyFont="1" applyFill="1" applyBorder="1" applyAlignment="1">
      <alignment horizontal="center" vertical="center" wrapText="1" readingOrder="1"/>
    </xf>
    <xf numFmtId="0" fontId="33" fillId="0" borderId="0" xfId="0" applyFont="1" applyFill="1" applyBorder="1" applyAlignment="1">
      <alignment horizontal="center" vertical="center" wrapText="1" readingOrder="1"/>
    </xf>
    <xf numFmtId="49" fontId="0" fillId="0" borderId="0" xfId="0" applyNumberFormat="1" applyFill="1"/>
    <xf numFmtId="0" fontId="2" fillId="3" borderId="1" xfId="0" applyFont="1" applyFill="1" applyBorder="1" applyAlignment="1">
      <alignment horizontal="center" vertical="center" wrapText="1"/>
    </xf>
    <xf numFmtId="0" fontId="1" fillId="0" borderId="5" xfId="0" applyFont="1" applyBorder="1" applyAlignment="1" applyProtection="1">
      <alignment horizontal="left" vertical="center" wrapText="1"/>
    </xf>
    <xf numFmtId="3" fontId="0" fillId="3" borderId="6" xfId="0" applyNumberFormat="1" applyFont="1" applyFill="1" applyBorder="1" applyAlignment="1">
      <alignment vertical="center" wrapText="1"/>
    </xf>
    <xf numFmtId="3" fontId="31" fillId="3" borderId="3" xfId="0" applyNumberFormat="1" applyFont="1" applyFill="1" applyBorder="1" applyAlignment="1">
      <alignment vertical="center" wrapText="1"/>
    </xf>
    <xf numFmtId="3" fontId="31" fillId="3" borderId="22" xfId="0" applyNumberFormat="1" applyFont="1" applyFill="1" applyBorder="1" applyAlignment="1">
      <alignment vertical="center" wrapText="1"/>
    </xf>
    <xf numFmtId="3" fontId="31" fillId="3" borderId="1" xfId="0" applyNumberFormat="1" applyFont="1" applyFill="1" applyBorder="1" applyAlignment="1">
      <alignment vertical="center" wrapText="1"/>
    </xf>
    <xf numFmtId="3" fontId="31" fillId="3" borderId="15" xfId="0" applyNumberFormat="1" applyFont="1" applyFill="1" applyBorder="1" applyAlignment="1">
      <alignment vertical="center" wrapText="1"/>
    </xf>
    <xf numFmtId="0" fontId="31" fillId="3" borderId="17" xfId="0" applyFont="1" applyFill="1" applyBorder="1" applyAlignment="1">
      <alignment vertical="center" wrapText="1"/>
    </xf>
    <xf numFmtId="0" fontId="31" fillId="3" borderId="18" xfId="0" applyFont="1" applyFill="1" applyBorder="1" applyAlignment="1">
      <alignment vertical="center" wrapText="1"/>
    </xf>
    <xf numFmtId="0" fontId="34" fillId="0" borderId="0" xfId="0" applyFont="1" applyFill="1" applyBorder="1" applyAlignment="1">
      <alignment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3" xfId="0" applyFont="1" applyBorder="1" applyAlignment="1" applyProtection="1">
      <alignment horizontal="center" vertical="center" wrapText="1"/>
      <protection locked="0"/>
    </xf>
    <xf numFmtId="0" fontId="2" fillId="0" borderId="72" xfId="0" applyFont="1" applyBorder="1" applyAlignment="1" applyProtection="1">
      <alignment horizontal="center" vertical="center" wrapText="1"/>
      <protection locked="0"/>
    </xf>
    <xf numFmtId="0" fontId="0" fillId="0" borderId="72" xfId="0" applyFont="1" applyBorder="1" applyAlignment="1" applyProtection="1">
      <alignment horizontal="center" vertical="center" wrapText="1"/>
      <protection locked="0"/>
    </xf>
    <xf numFmtId="0" fontId="0" fillId="0" borderId="3" xfId="0" applyFont="1" applyBorder="1" applyAlignment="1" applyProtection="1">
      <alignment horizontal="center" vertical="center" wrapText="1"/>
      <protection locked="0"/>
    </xf>
    <xf numFmtId="0" fontId="11" fillId="0" borderId="7" xfId="0" applyFont="1" applyBorder="1" applyAlignment="1" applyProtection="1">
      <alignment horizontal="center" vertical="center" wrapText="1"/>
      <protection locked="0"/>
    </xf>
    <xf numFmtId="9" fontId="11" fillId="0" borderId="5" xfId="0" applyNumberFormat="1" applyFont="1" applyBorder="1" applyAlignment="1" applyProtection="1">
      <alignment horizontal="center" vertical="center" wrapText="1"/>
      <protection locked="0"/>
    </xf>
    <xf numFmtId="0" fontId="0" fillId="0" borderId="0" xfId="0" applyFont="1" applyAlignment="1" applyProtection="1">
      <alignment vertical="center" wrapText="1"/>
    </xf>
    <xf numFmtId="0" fontId="2" fillId="0" borderId="0" xfId="0" applyFont="1" applyBorder="1" applyAlignment="1" applyProtection="1">
      <alignment vertical="center"/>
    </xf>
    <xf numFmtId="0" fontId="0" fillId="0" borderId="0" xfId="0" applyFont="1" applyBorder="1" applyAlignment="1" applyProtection="1">
      <alignment vertical="center" wrapText="1"/>
    </xf>
    <xf numFmtId="0" fontId="2" fillId="0" borderId="0" xfId="0" applyFont="1" applyAlignment="1" applyProtection="1">
      <alignment vertical="center"/>
    </xf>
    <xf numFmtId="4" fontId="0" fillId="0" borderId="24" xfId="0" applyNumberFormat="1" applyFont="1" applyBorder="1" applyAlignment="1" applyProtection="1">
      <alignment vertical="center" wrapText="1"/>
      <protection locked="0"/>
    </xf>
    <xf numFmtId="4" fontId="0" fillId="0" borderId="17" xfId="0" applyNumberFormat="1" applyFont="1" applyBorder="1" applyAlignment="1" applyProtection="1">
      <alignment vertical="center" wrapText="1"/>
      <protection locked="0"/>
    </xf>
    <xf numFmtId="4" fontId="0" fillId="0" borderId="1" xfId="0" applyNumberFormat="1" applyFont="1" applyBorder="1" applyAlignment="1" applyProtection="1">
      <alignment vertical="center" wrapText="1"/>
      <protection locked="0"/>
    </xf>
    <xf numFmtId="4" fontId="0" fillId="0" borderId="7" xfId="0" applyNumberFormat="1" applyFont="1" applyBorder="1" applyAlignment="1" applyProtection="1">
      <alignment vertical="center" wrapText="1"/>
      <protection locked="0"/>
    </xf>
    <xf numFmtId="4" fontId="13" fillId="0" borderId="47" xfId="0" applyNumberFormat="1" applyFont="1" applyBorder="1" applyAlignment="1" applyProtection="1">
      <alignment vertical="center" wrapText="1"/>
      <protection locked="0"/>
    </xf>
    <xf numFmtId="4" fontId="13" fillId="0" borderId="2" xfId="0" applyNumberFormat="1" applyFont="1" applyBorder="1" applyAlignment="1" applyProtection="1">
      <alignment vertical="center" wrapText="1"/>
      <protection locked="0"/>
    </xf>
    <xf numFmtId="3" fontId="0" fillId="0" borderId="24" xfId="0" applyNumberFormat="1" applyFont="1" applyBorder="1" applyAlignment="1" applyProtection="1">
      <alignment vertical="center" wrapText="1"/>
      <protection locked="0"/>
    </xf>
    <xf numFmtId="3" fontId="0" fillId="0" borderId="17" xfId="0" applyNumberFormat="1" applyFont="1" applyBorder="1" applyAlignment="1" applyProtection="1">
      <alignment vertical="center" wrapText="1"/>
      <protection locked="0"/>
    </xf>
    <xf numFmtId="3" fontId="0" fillId="0" borderId="1" xfId="0" applyNumberFormat="1" applyFont="1" applyBorder="1" applyAlignment="1" applyProtection="1">
      <alignment vertical="center" wrapText="1"/>
      <protection locked="0"/>
    </xf>
    <xf numFmtId="3" fontId="0" fillId="0" borderId="2" xfId="0" applyNumberFormat="1" applyFont="1" applyBorder="1" applyAlignment="1" applyProtection="1">
      <alignment vertical="center" wrapText="1"/>
      <protection locked="0"/>
    </xf>
    <xf numFmtId="3" fontId="13" fillId="0" borderId="1" xfId="0" applyNumberFormat="1" applyFont="1" applyBorder="1" applyAlignment="1" applyProtection="1">
      <alignment vertical="center" wrapText="1"/>
      <protection locked="0"/>
    </xf>
    <xf numFmtId="3" fontId="0" fillId="0" borderId="24" xfId="0" applyNumberFormat="1" applyFont="1" applyFill="1" applyBorder="1" applyAlignment="1" applyProtection="1">
      <alignment vertical="center" wrapText="1"/>
      <protection locked="0"/>
    </xf>
    <xf numFmtId="3" fontId="0" fillId="0" borderId="17" xfId="0" applyNumberFormat="1" applyFont="1" applyFill="1" applyBorder="1" applyAlignment="1" applyProtection="1">
      <alignment vertical="center" wrapText="1"/>
      <protection locked="0"/>
    </xf>
    <xf numFmtId="3" fontId="0" fillId="0" borderId="1" xfId="0" applyNumberFormat="1" applyFont="1" applyFill="1" applyBorder="1" applyAlignment="1" applyProtection="1">
      <alignment vertical="center" wrapText="1"/>
      <protection locked="0"/>
    </xf>
    <xf numFmtId="3" fontId="0" fillId="0" borderId="2" xfId="0" applyNumberFormat="1" applyFont="1" applyFill="1" applyBorder="1" applyAlignment="1" applyProtection="1">
      <alignment vertical="center" wrapText="1"/>
      <protection locked="0"/>
    </xf>
    <xf numFmtId="3" fontId="13" fillId="0" borderId="2" xfId="0" applyNumberFormat="1" applyFont="1" applyFill="1" applyBorder="1" applyAlignment="1" applyProtection="1">
      <alignment vertical="center" wrapText="1"/>
      <protection locked="0"/>
    </xf>
    <xf numFmtId="3" fontId="0" fillId="0" borderId="61" xfId="0" applyNumberFormat="1" applyFont="1" applyBorder="1" applyAlignment="1" applyProtection="1">
      <alignment vertical="center" wrapText="1"/>
      <protection locked="0"/>
    </xf>
    <xf numFmtId="4" fontId="0" fillId="0" borderId="3" xfId="0" applyNumberFormat="1" applyFont="1" applyBorder="1" applyAlignment="1" applyProtection="1">
      <alignment vertical="center" wrapText="1"/>
      <protection locked="0"/>
    </xf>
    <xf numFmtId="4" fontId="0" fillId="0" borderId="2" xfId="0" applyNumberFormat="1" applyFont="1" applyBorder="1" applyAlignment="1" applyProtection="1">
      <alignment vertical="center" wrapText="1"/>
      <protection locked="0"/>
    </xf>
    <xf numFmtId="3" fontId="0" fillId="0" borderId="3" xfId="0" applyNumberFormat="1" applyFont="1" applyBorder="1" applyAlignment="1" applyProtection="1">
      <alignment vertical="center" wrapText="1"/>
      <protection locked="0"/>
    </xf>
    <xf numFmtId="3" fontId="0" fillId="0" borderId="3" xfId="0" applyNumberFormat="1" applyFont="1" applyFill="1" applyBorder="1" applyAlignment="1" applyProtection="1">
      <alignment vertical="center" wrapText="1"/>
      <protection locked="0"/>
    </xf>
    <xf numFmtId="3" fontId="0" fillId="0" borderId="60" xfId="0" applyNumberFormat="1" applyFont="1" applyFill="1" applyBorder="1" applyAlignment="1" applyProtection="1">
      <alignment vertical="center" wrapText="1"/>
      <protection locked="0"/>
    </xf>
    <xf numFmtId="4" fontId="0" fillId="0" borderId="1" xfId="0" applyNumberFormat="1" applyFont="1" applyFill="1" applyBorder="1" applyAlignment="1" applyProtection="1">
      <alignment vertical="center" wrapText="1"/>
      <protection locked="0"/>
    </xf>
    <xf numFmtId="0" fontId="7" fillId="0" borderId="0" xfId="0" applyFont="1" applyProtection="1"/>
    <xf numFmtId="0" fontId="0" fillId="0" borderId="0" xfId="0" applyProtection="1"/>
    <xf numFmtId="0" fontId="4" fillId="10" borderId="1" xfId="0" applyFont="1" applyFill="1" applyBorder="1" applyProtection="1"/>
    <xf numFmtId="0" fontId="7" fillId="3" borderId="1" xfId="0" applyFont="1" applyFill="1" applyBorder="1" applyProtection="1"/>
    <xf numFmtId="0" fontId="8" fillId="0" borderId="0" xfId="0" applyFont="1" applyProtection="1"/>
    <xf numFmtId="0" fontId="4" fillId="10" borderId="1" xfId="0" applyFont="1" applyFill="1" applyBorder="1" applyAlignment="1" applyProtection="1">
      <alignment vertical="center" wrapText="1"/>
    </xf>
    <xf numFmtId="0" fontId="7" fillId="3" borderId="1" xfId="0" applyFont="1" applyFill="1" applyBorder="1" applyAlignment="1" applyProtection="1">
      <alignment vertical="center" wrapText="1"/>
    </xf>
    <xf numFmtId="0" fontId="8" fillId="0" borderId="0" xfId="0" applyFont="1" applyAlignment="1" applyProtection="1">
      <alignment vertical="center" wrapText="1"/>
    </xf>
    <xf numFmtId="0" fontId="2" fillId="0" borderId="2" xfId="0" applyFont="1" applyBorder="1" applyAlignment="1" applyProtection="1">
      <alignment vertical="center" wrapText="1"/>
    </xf>
    <xf numFmtId="0" fontId="20" fillId="9" borderId="2" xfId="0" applyFont="1" applyFill="1" applyBorder="1" applyAlignment="1" applyProtection="1">
      <alignment horizontal="center" vertical="center" wrapText="1"/>
    </xf>
    <xf numFmtId="0" fontId="25" fillId="0" borderId="2" xfId="0" applyFont="1" applyBorder="1" applyAlignment="1" applyProtection="1">
      <alignment horizontal="center" vertical="center" wrapText="1"/>
    </xf>
    <xf numFmtId="0" fontId="0" fillId="0" borderId="3" xfId="0" applyBorder="1" applyAlignment="1" applyProtection="1">
      <alignment vertical="center" wrapText="1"/>
    </xf>
    <xf numFmtId="0" fontId="0" fillId="9" borderId="72" xfId="0" applyFill="1" applyBorder="1" applyAlignment="1" applyProtection="1">
      <alignment vertical="center" wrapText="1"/>
    </xf>
    <xf numFmtId="0" fontId="5" fillId="0" borderId="49" xfId="0" applyFont="1" applyBorder="1" applyAlignment="1" applyProtection="1">
      <alignment vertical="center" wrapText="1"/>
    </xf>
    <xf numFmtId="0" fontId="0" fillId="0" borderId="2" xfId="0" applyBorder="1" applyAlignment="1" applyProtection="1">
      <alignment vertical="center" wrapText="1"/>
    </xf>
    <xf numFmtId="3" fontId="0" fillId="3" borderId="3" xfId="0" applyNumberFormat="1" applyFill="1" applyBorder="1" applyAlignment="1" applyProtection="1">
      <alignment vertical="center" wrapText="1"/>
    </xf>
    <xf numFmtId="0" fontId="0" fillId="0" borderId="72" xfId="0" applyBorder="1" applyAlignment="1" applyProtection="1">
      <alignment vertical="center" wrapText="1"/>
    </xf>
    <xf numFmtId="0" fontId="0" fillId="6" borderId="0" xfId="0" applyFill="1" applyAlignment="1" applyProtection="1">
      <alignment vertical="center" wrapText="1"/>
    </xf>
    <xf numFmtId="3" fontId="0" fillId="6" borderId="72" xfId="0" applyNumberFormat="1" applyFill="1" applyBorder="1" applyAlignment="1" applyProtection="1">
      <alignment vertical="center" wrapText="1"/>
    </xf>
    <xf numFmtId="3" fontId="0" fillId="0" borderId="2" xfId="0" applyNumberFormat="1" applyBorder="1" applyAlignment="1" applyProtection="1">
      <alignment vertical="center" wrapText="1"/>
    </xf>
    <xf numFmtId="0" fontId="0" fillId="0" borderId="47" xfId="0" applyBorder="1" applyAlignment="1" applyProtection="1">
      <alignment vertical="center" wrapText="1"/>
    </xf>
    <xf numFmtId="0" fontId="0" fillId="0" borderId="4" xfId="0" applyBorder="1" applyAlignment="1" applyProtection="1">
      <alignment vertical="center" wrapText="1"/>
    </xf>
    <xf numFmtId="0" fontId="0" fillId="0" borderId="0" xfId="0" applyAlignment="1" applyProtection="1">
      <alignment vertical="center" wrapText="1"/>
    </xf>
    <xf numFmtId="0" fontId="0" fillId="6" borderId="5" xfId="0" applyFill="1" applyBorder="1" applyAlignment="1" applyProtection="1">
      <alignment vertical="center" wrapText="1"/>
    </xf>
    <xf numFmtId="3" fontId="0" fillId="6" borderId="1" xfId="0" applyNumberFormat="1" applyFill="1" applyBorder="1" applyAlignment="1" applyProtection="1">
      <alignment vertical="center" wrapText="1"/>
    </xf>
    <xf numFmtId="0" fontId="0" fillId="6" borderId="7" xfId="0" applyFill="1" applyBorder="1" applyAlignment="1" applyProtection="1">
      <alignment vertical="center" wrapText="1"/>
    </xf>
    <xf numFmtId="0" fontId="5" fillId="0" borderId="5" xfId="0" applyFont="1" applyBorder="1" applyAlignment="1" applyProtection="1">
      <alignment vertical="center" wrapText="1"/>
    </xf>
    <xf numFmtId="3" fontId="4" fillId="9" borderId="1" xfId="0" applyNumberFormat="1" applyFont="1" applyFill="1" applyBorder="1" applyAlignment="1" applyProtection="1">
      <alignment vertical="center" wrapText="1"/>
    </xf>
    <xf numFmtId="0" fontId="9" fillId="0" borderId="0" xfId="0" applyFont="1" applyAlignment="1" applyProtection="1">
      <alignment vertical="center"/>
    </xf>
    <xf numFmtId="0" fontId="5" fillId="3" borderId="49" xfId="0" applyFont="1" applyFill="1" applyBorder="1" applyAlignment="1" applyProtection="1">
      <alignment vertical="center"/>
    </xf>
    <xf numFmtId="0" fontId="0" fillId="3" borderId="73" xfId="0" applyFill="1" applyBorder="1" applyAlignment="1" applyProtection="1"/>
    <xf numFmtId="0" fontId="0" fillId="3" borderId="47" xfId="0" applyFill="1" applyBorder="1" applyProtection="1"/>
    <xf numFmtId="0" fontId="0" fillId="3" borderId="70" xfId="0" applyFill="1" applyBorder="1" applyProtection="1"/>
    <xf numFmtId="0" fontId="0" fillId="3" borderId="0" xfId="0" applyFill="1" applyBorder="1" applyProtection="1"/>
    <xf numFmtId="0" fontId="0" fillId="3" borderId="69" xfId="0" applyFill="1" applyBorder="1" applyProtection="1"/>
    <xf numFmtId="0" fontId="5" fillId="3" borderId="70" xfId="0" applyFont="1" applyFill="1" applyBorder="1" applyProtection="1"/>
    <xf numFmtId="0" fontId="0" fillId="3" borderId="0" xfId="0" applyFill="1" applyBorder="1" applyAlignment="1" applyProtection="1">
      <alignment horizontal="center"/>
    </xf>
    <xf numFmtId="0" fontId="0" fillId="3" borderId="69" xfId="0" applyFill="1" applyBorder="1" applyAlignment="1" applyProtection="1">
      <alignment horizontal="center"/>
    </xf>
    <xf numFmtId="0" fontId="2" fillId="3" borderId="70" xfId="0" applyFont="1" applyFill="1" applyBorder="1" applyProtection="1"/>
    <xf numFmtId="0" fontId="5" fillId="3" borderId="70" xfId="0" applyFont="1" applyFill="1" applyBorder="1" applyAlignment="1" applyProtection="1">
      <alignment vertical="center"/>
    </xf>
    <xf numFmtId="0" fontId="20" fillId="3" borderId="0" xfId="0" applyFont="1" applyFill="1" applyBorder="1" applyAlignment="1" applyProtection="1">
      <alignment horizontal="center" wrapText="1"/>
    </xf>
    <xf numFmtId="0" fontId="0" fillId="3" borderId="70" xfId="0" applyFill="1" applyBorder="1" applyAlignment="1" applyProtection="1">
      <alignment vertical="center" wrapText="1"/>
    </xf>
    <xf numFmtId="0" fontId="0" fillId="3" borderId="0" xfId="0" applyFill="1" applyBorder="1" applyAlignment="1" applyProtection="1">
      <alignment vertical="center" wrapText="1"/>
    </xf>
    <xf numFmtId="0" fontId="0" fillId="3" borderId="69" xfId="0" applyFill="1" applyBorder="1" applyAlignment="1" applyProtection="1">
      <alignment vertical="center" wrapText="1"/>
    </xf>
    <xf numFmtId="0" fontId="0" fillId="3" borderId="52" xfId="0" applyFill="1" applyBorder="1" applyAlignment="1" applyProtection="1">
      <alignment vertical="center" wrapText="1"/>
    </xf>
    <xf numFmtId="0" fontId="0" fillId="3" borderId="74" xfId="0" applyFill="1" applyBorder="1" applyAlignment="1" applyProtection="1">
      <alignment vertical="center" wrapText="1"/>
    </xf>
    <xf numFmtId="0" fontId="0" fillId="3" borderId="4" xfId="0" applyFill="1" applyBorder="1" applyAlignment="1" applyProtection="1">
      <alignment vertical="center" wrapText="1"/>
    </xf>
    <xf numFmtId="0" fontId="7" fillId="8" borderId="1" xfId="0" applyFont="1" applyFill="1" applyBorder="1" applyProtection="1">
      <protection locked="0"/>
    </xf>
    <xf numFmtId="0" fontId="0" fillId="0" borderId="52" xfId="0" applyBorder="1" applyAlignment="1" applyProtection="1">
      <alignment vertical="center" wrapText="1"/>
      <protection locked="0"/>
    </xf>
    <xf numFmtId="0" fontId="0" fillId="8" borderId="3" xfId="0" applyFont="1" applyFill="1" applyBorder="1" applyAlignment="1" applyProtection="1">
      <alignment vertical="center" wrapText="1"/>
      <protection locked="0"/>
    </xf>
    <xf numFmtId="3" fontId="0" fillId="0" borderId="1" xfId="0" applyNumberFormat="1" applyFont="1" applyFill="1" applyBorder="1" applyAlignment="1" applyProtection="1">
      <alignment horizontal="center" vertical="center" wrapText="1"/>
      <protection locked="0"/>
    </xf>
    <xf numFmtId="0" fontId="0" fillId="9" borderId="72" xfId="0" applyFont="1" applyFill="1" applyBorder="1" applyAlignment="1" applyProtection="1">
      <alignment vertical="center" wrapText="1"/>
      <protection locked="0"/>
    </xf>
    <xf numFmtId="0" fontId="0" fillId="3" borderId="3" xfId="0" applyFont="1" applyFill="1" applyBorder="1" applyAlignment="1" applyProtection="1">
      <alignment vertical="center" wrapText="1"/>
      <protection locked="0"/>
    </xf>
    <xf numFmtId="3" fontId="0" fillId="2" borderId="1" xfId="0" applyNumberFormat="1" applyFont="1" applyFill="1" applyBorder="1" applyAlignment="1" applyProtection="1">
      <alignment horizontal="center" vertical="center" wrapText="1"/>
      <protection locked="0"/>
    </xf>
    <xf numFmtId="0" fontId="0" fillId="9" borderId="1" xfId="0" applyFont="1" applyFill="1" applyBorder="1" applyAlignment="1" applyProtection="1">
      <alignment vertical="center" wrapText="1"/>
      <protection locked="0"/>
    </xf>
    <xf numFmtId="0" fontId="0" fillId="2" borderId="0" xfId="0" applyFill="1" applyBorder="1" applyProtection="1">
      <protection locked="0"/>
    </xf>
    <xf numFmtId="0" fontId="4" fillId="0" borderId="70" xfId="0" applyFont="1" applyFill="1" applyBorder="1" applyAlignment="1" applyProtection="1">
      <protection locked="0"/>
    </xf>
    <xf numFmtId="0" fontId="4" fillId="0" borderId="0" xfId="0" applyFont="1" applyFill="1" applyBorder="1" applyAlignment="1" applyProtection="1">
      <protection locked="0"/>
    </xf>
    <xf numFmtId="0" fontId="0" fillId="2" borderId="0" xfId="0" applyFill="1" applyBorder="1" applyProtection="1"/>
    <xf numFmtId="0" fontId="36" fillId="2" borderId="1" xfId="0" applyFont="1" applyFill="1" applyBorder="1" applyAlignment="1" applyProtection="1">
      <alignment horizontal="center" vertical="center" wrapText="1"/>
    </xf>
    <xf numFmtId="0" fontId="0" fillId="2" borderId="1" xfId="0" applyFill="1" applyBorder="1" applyProtection="1"/>
    <xf numFmtId="164" fontId="0" fillId="2" borderId="1" xfId="0" applyNumberFormat="1" applyFill="1" applyBorder="1" applyProtection="1"/>
    <xf numFmtId="0" fontId="36" fillId="2" borderId="2" xfId="0" applyFont="1" applyFill="1" applyBorder="1" applyAlignment="1" applyProtection="1">
      <alignment horizontal="center" vertical="center" wrapText="1"/>
    </xf>
    <xf numFmtId="0" fontId="4" fillId="2" borderId="2" xfId="0" applyFont="1" applyFill="1" applyBorder="1" applyAlignment="1" applyProtection="1">
      <alignment horizontal="center" vertical="center" wrapText="1"/>
    </xf>
    <xf numFmtId="164" fontId="4" fillId="2" borderId="1" xfId="0" applyNumberFormat="1" applyFont="1" applyFill="1" applyBorder="1" applyAlignment="1" applyProtection="1">
      <alignment vertical="center"/>
    </xf>
    <xf numFmtId="0" fontId="11" fillId="20" borderId="1" xfId="0" applyFont="1" applyFill="1" applyBorder="1" applyAlignment="1" applyProtection="1">
      <protection locked="0"/>
    </xf>
    <xf numFmtId="0" fontId="5" fillId="0" borderId="0" xfId="0" applyFont="1" applyAlignment="1">
      <alignment vertical="center" wrapText="1"/>
    </xf>
    <xf numFmtId="0" fontId="5" fillId="4" borderId="10" xfId="0" applyFont="1" applyFill="1" applyBorder="1" applyAlignment="1">
      <alignment horizontal="center" vertical="center" wrapText="1"/>
    </xf>
    <xf numFmtId="4" fontId="4" fillId="0" borderId="0" xfId="0" applyNumberFormat="1" applyFont="1" applyFill="1" applyBorder="1" applyAlignment="1">
      <alignment horizontal="right" vertical="center" wrapText="1"/>
    </xf>
    <xf numFmtId="3" fontId="4" fillId="0" borderId="0" xfId="0" applyNumberFormat="1" applyFont="1" applyFill="1" applyBorder="1" applyAlignment="1">
      <alignment horizontal="right" vertical="center" wrapText="1"/>
    </xf>
    <xf numFmtId="0" fontId="5" fillId="0" borderId="0" xfId="0" applyFont="1" applyFill="1" applyBorder="1" applyAlignment="1">
      <alignment horizontal="center" vertical="center" wrapText="1"/>
    </xf>
    <xf numFmtId="0" fontId="5" fillId="0" borderId="20" xfId="0" applyFont="1" applyFill="1" applyBorder="1" applyAlignment="1">
      <alignment vertical="center"/>
    </xf>
    <xf numFmtId="0" fontId="5" fillId="0" borderId="81" xfId="0" applyFont="1" applyFill="1" applyBorder="1" applyAlignment="1">
      <alignment vertical="center"/>
    </xf>
    <xf numFmtId="3" fontId="4" fillId="0" borderId="0" xfId="0" applyNumberFormat="1" applyFont="1" applyFill="1" applyBorder="1" applyAlignment="1">
      <alignment vertical="center" wrapText="1"/>
    </xf>
    <xf numFmtId="3" fontId="5" fillId="0" borderId="0" xfId="0" applyNumberFormat="1" applyFont="1" applyFill="1" applyBorder="1" applyAlignment="1">
      <alignment vertical="center" wrapText="1"/>
    </xf>
    <xf numFmtId="3" fontId="5" fillId="4" borderId="48" xfId="0" applyNumberFormat="1" applyFont="1" applyFill="1" applyBorder="1" applyAlignment="1">
      <alignment vertical="center" wrapText="1"/>
    </xf>
    <xf numFmtId="0" fontId="42" fillId="0" borderId="0" xfId="0" applyFont="1" applyAlignment="1" applyProtection="1">
      <alignment vertical="center" wrapText="1"/>
      <protection locked="0"/>
    </xf>
    <xf numFmtId="0" fontId="4" fillId="0" borderId="1" xfId="0" applyFont="1" applyBorder="1" applyAlignment="1">
      <alignment horizontal="center" vertical="center" wrapText="1"/>
    </xf>
    <xf numFmtId="0" fontId="8" fillId="0" borderId="1" xfId="0" applyFont="1" applyBorder="1" applyAlignment="1" applyProtection="1">
      <alignment horizontal="left" vertical="center" wrapText="1"/>
      <protection locked="0"/>
    </xf>
    <xf numFmtId="4" fontId="0" fillId="3" borderId="15" xfId="0" applyNumberFormat="1" applyFill="1" applyBorder="1"/>
    <xf numFmtId="4" fontId="6" fillId="3" borderId="18" xfId="0" applyNumberFormat="1" applyFont="1" applyFill="1" applyBorder="1"/>
    <xf numFmtId="3" fontId="0" fillId="3" borderId="1" xfId="0" applyNumberFormat="1" applyFill="1" applyBorder="1" applyAlignment="1">
      <alignment horizontal="center" vertical="center"/>
    </xf>
    <xf numFmtId="4" fontId="4" fillId="3" borderId="15" xfId="0" applyNumberFormat="1" applyFont="1" applyFill="1" applyBorder="1" applyAlignment="1">
      <alignment vertical="center"/>
    </xf>
    <xf numFmtId="3" fontId="0" fillId="3" borderId="17" xfId="0" applyNumberFormat="1" applyFill="1" applyBorder="1" applyAlignment="1">
      <alignment horizontal="center" vertical="center"/>
    </xf>
    <xf numFmtId="4" fontId="4" fillId="3" borderId="18" xfId="0" applyNumberFormat="1" applyFont="1" applyFill="1" applyBorder="1" applyAlignment="1">
      <alignment vertical="center"/>
    </xf>
    <xf numFmtId="3" fontId="0" fillId="3" borderId="1" xfId="0" applyNumberFormat="1" applyFill="1" applyBorder="1" applyAlignment="1">
      <alignment horizontal="center"/>
    </xf>
    <xf numFmtId="0" fontId="0" fillId="0" borderId="1" xfId="0" applyBorder="1" applyAlignment="1">
      <alignment vertical="center" wrapText="1"/>
    </xf>
    <xf numFmtId="0" fontId="0" fillId="0" borderId="1" xfId="0" applyBorder="1" applyAlignment="1">
      <alignment horizontal="center" vertical="center"/>
    </xf>
    <xf numFmtId="16" fontId="2" fillId="0" borderId="1" xfId="0" applyNumberFormat="1" applyFont="1" applyBorder="1" applyAlignment="1">
      <alignment horizontal="center" vertical="center"/>
    </xf>
    <xf numFmtId="16" fontId="0" fillId="0" borderId="1" xfId="0" applyNumberFormat="1" applyBorder="1" applyAlignment="1">
      <alignment horizontal="center" vertical="center"/>
    </xf>
    <xf numFmtId="0" fontId="4" fillId="0" borderId="14" xfId="0" applyFont="1" applyBorder="1" applyAlignment="1">
      <alignment horizontal="center" vertical="center" wrapText="1"/>
    </xf>
    <xf numFmtId="165" fontId="0" fillId="0" borderId="85" xfId="0" applyNumberFormat="1" applyFont="1" applyFill="1" applyBorder="1" applyAlignment="1" applyProtection="1">
      <alignment vertical="center" wrapText="1"/>
      <protection locked="0"/>
    </xf>
    <xf numFmtId="165" fontId="0" fillId="0" borderId="86" xfId="0" applyNumberFormat="1" applyFont="1" applyFill="1" applyBorder="1" applyAlignment="1" applyProtection="1">
      <alignment vertical="center" wrapText="1"/>
      <protection locked="0"/>
    </xf>
    <xf numFmtId="165" fontId="0" fillId="0" borderId="87" xfId="0" applyNumberFormat="1" applyFont="1" applyFill="1" applyBorder="1" applyAlignment="1" applyProtection="1">
      <alignment vertical="center" wrapText="1"/>
      <protection locked="0"/>
    </xf>
    <xf numFmtId="0" fontId="1" fillId="0" borderId="49" xfId="0" applyFont="1" applyBorder="1" applyAlignment="1" applyProtection="1">
      <alignment horizontal="left" vertical="center" wrapText="1"/>
    </xf>
    <xf numFmtId="4" fontId="0" fillId="6" borderId="4" xfId="0" applyNumberFormat="1" applyFont="1" applyFill="1" applyBorder="1" applyAlignment="1">
      <alignment vertical="center" wrapText="1"/>
    </xf>
    <xf numFmtId="4" fontId="0" fillId="0" borderId="84" xfId="0" applyNumberFormat="1" applyFont="1" applyBorder="1" applyAlignment="1" applyProtection="1">
      <alignment vertical="center" wrapText="1"/>
      <protection locked="0"/>
    </xf>
    <xf numFmtId="4" fontId="0" fillId="0" borderId="85" xfId="0" applyNumberFormat="1" applyFont="1" applyBorder="1" applyAlignment="1" applyProtection="1">
      <alignment vertical="center" wrapText="1"/>
      <protection locked="0"/>
    </xf>
    <xf numFmtId="4" fontId="0" fillId="0" borderId="86" xfId="0" applyNumberFormat="1" applyFont="1" applyBorder="1" applyAlignment="1" applyProtection="1">
      <alignment vertical="center" wrapText="1"/>
      <protection locked="0"/>
    </xf>
    <xf numFmtId="4" fontId="0" fillId="0" borderId="87" xfId="0" applyNumberFormat="1" applyFont="1" applyBorder="1" applyAlignment="1" applyProtection="1">
      <alignment vertical="center" wrapText="1"/>
      <protection locked="0"/>
    </xf>
    <xf numFmtId="0" fontId="12" fillId="0" borderId="61" xfId="0" applyFont="1" applyFill="1" applyBorder="1" applyAlignment="1" applyProtection="1">
      <alignment vertical="center" wrapText="1"/>
      <protection locked="0"/>
    </xf>
    <xf numFmtId="0" fontId="12" fillId="0" borderId="83" xfId="0" applyFont="1" applyFill="1" applyBorder="1" applyAlignment="1" applyProtection="1">
      <alignment vertical="center" wrapText="1"/>
      <protection locked="0"/>
    </xf>
    <xf numFmtId="0" fontId="0" fillId="3" borderId="19" xfId="0" applyFill="1" applyBorder="1"/>
    <xf numFmtId="0" fontId="0" fillId="3" borderId="44" xfId="0" applyFill="1" applyBorder="1"/>
    <xf numFmtId="0" fontId="0" fillId="3" borderId="14" xfId="0" applyFill="1" applyBorder="1"/>
    <xf numFmtId="0" fontId="0" fillId="3" borderId="46" xfId="0" applyFill="1" applyBorder="1"/>
    <xf numFmtId="0" fontId="0" fillId="3" borderId="16" xfId="0" applyFill="1" applyBorder="1"/>
    <xf numFmtId="0" fontId="0" fillId="3" borderId="7" xfId="0" applyFill="1" applyBorder="1"/>
    <xf numFmtId="0" fontId="0" fillId="3" borderId="29" xfId="0" applyFill="1" applyBorder="1"/>
    <xf numFmtId="0" fontId="0" fillId="3" borderId="14" xfId="0" applyFill="1" applyBorder="1" applyAlignment="1">
      <alignment horizontal="center"/>
    </xf>
    <xf numFmtId="0" fontId="0" fillId="3" borderId="16" xfId="0" applyFill="1" applyBorder="1" applyAlignment="1">
      <alignment horizontal="center"/>
    </xf>
    <xf numFmtId="0" fontId="0" fillId="3" borderId="34" xfId="0" applyFill="1" applyBorder="1"/>
    <xf numFmtId="3" fontId="0" fillId="3" borderId="1" xfId="0" applyNumberFormat="1" applyFont="1" applyFill="1" applyBorder="1" applyAlignment="1">
      <alignment horizontal="center" vertical="center" wrapText="1"/>
    </xf>
    <xf numFmtId="0" fontId="2" fillId="0" borderId="0" xfId="0" applyFont="1" applyBorder="1" applyAlignment="1">
      <alignment vertical="center" wrapText="1"/>
    </xf>
    <xf numFmtId="0" fontId="11" fillId="0" borderId="0" xfId="0" applyFont="1" applyAlignment="1" applyProtection="1">
      <alignment vertical="center" wrapText="1"/>
    </xf>
    <xf numFmtId="0" fontId="11" fillId="0" borderId="94" xfId="0" applyFont="1" applyBorder="1" applyAlignment="1" applyProtection="1">
      <alignment horizontal="center" vertical="center" wrapText="1"/>
    </xf>
    <xf numFmtId="0" fontId="11" fillId="0" borderId="95" xfId="0" applyFont="1" applyFill="1" applyBorder="1" applyAlignment="1" applyProtection="1">
      <alignment horizontal="center" vertical="center" wrapText="1"/>
    </xf>
    <xf numFmtId="0" fontId="0" fillId="0" borderId="1" xfId="0" applyFill="1" applyBorder="1" applyAlignment="1">
      <alignment horizontal="center" vertical="center"/>
    </xf>
    <xf numFmtId="2" fontId="0" fillId="0" borderId="1" xfId="0" applyNumberFormat="1" applyFont="1" applyFill="1" applyBorder="1" applyAlignment="1">
      <alignment horizontal="center" vertical="center" wrapText="1"/>
    </xf>
    <xf numFmtId="4" fontId="0" fillId="2" borderId="1" xfId="0" applyNumberFormat="1" applyFont="1" applyFill="1" applyBorder="1" applyAlignment="1" applyProtection="1">
      <alignment horizontal="center" vertical="center" wrapText="1"/>
      <protection locked="0"/>
    </xf>
    <xf numFmtId="4" fontId="0" fillId="2" borderId="2" xfId="0" applyNumberFormat="1" applyFont="1" applyFill="1" applyBorder="1" applyAlignment="1" applyProtection="1">
      <alignment horizontal="center" vertical="center" wrapText="1"/>
      <protection locked="0"/>
    </xf>
    <xf numFmtId="4" fontId="0" fillId="2" borderId="17" xfId="0" applyNumberFormat="1" applyFill="1" applyBorder="1" applyAlignment="1" applyProtection="1">
      <alignment horizontal="center" vertical="center"/>
      <protection locked="0"/>
    </xf>
    <xf numFmtId="4" fontId="0" fillId="0" borderId="2" xfId="0" applyNumberFormat="1" applyFont="1" applyBorder="1" applyAlignment="1" applyProtection="1">
      <alignment horizontal="center" vertical="center" wrapText="1"/>
      <protection locked="0"/>
    </xf>
    <xf numFmtId="4" fontId="0" fillId="0" borderId="17" xfId="0" applyNumberFormat="1" applyBorder="1" applyAlignment="1" applyProtection="1">
      <alignment horizontal="center" vertical="center"/>
      <protection locked="0"/>
    </xf>
    <xf numFmtId="0" fontId="0" fillId="0" borderId="52" xfId="0" applyFill="1" applyBorder="1" applyProtection="1">
      <protection locked="0"/>
    </xf>
    <xf numFmtId="0" fontId="0" fillId="0" borderId="5" xfId="0" applyFill="1" applyBorder="1" applyProtection="1">
      <protection locked="0"/>
    </xf>
    <xf numFmtId="0" fontId="0" fillId="0" borderId="50" xfId="0" applyFill="1" applyBorder="1" applyProtection="1">
      <protection locked="0"/>
    </xf>
    <xf numFmtId="0" fontId="0" fillId="0" borderId="34" xfId="0" applyBorder="1" applyProtection="1">
      <protection locked="0"/>
    </xf>
    <xf numFmtId="0" fontId="0" fillId="0" borderId="16" xfId="0" applyBorder="1" applyProtection="1">
      <protection locked="0"/>
    </xf>
    <xf numFmtId="3" fontId="0" fillId="2" borderId="1" xfId="0" applyNumberFormat="1" applyFill="1" applyBorder="1" applyProtection="1">
      <protection locked="0"/>
    </xf>
    <xf numFmtId="3" fontId="0" fillId="0" borderId="1" xfId="0" applyNumberFormat="1" applyBorder="1" applyProtection="1">
      <protection locked="0"/>
    </xf>
    <xf numFmtId="0" fontId="0" fillId="0" borderId="15" xfId="0" applyFill="1" applyBorder="1" applyProtection="1">
      <protection locked="0"/>
    </xf>
    <xf numFmtId="0" fontId="0" fillId="0" borderId="45" xfId="0" applyFill="1" applyBorder="1" applyProtection="1">
      <protection locked="0"/>
    </xf>
    <xf numFmtId="0" fontId="0" fillId="0" borderId="18" xfId="0" applyFill="1" applyBorder="1" applyProtection="1">
      <protection locked="0"/>
    </xf>
    <xf numFmtId="0" fontId="0" fillId="0" borderId="49" xfId="0" applyFill="1" applyBorder="1" applyProtection="1">
      <protection locked="0"/>
    </xf>
    <xf numFmtId="0" fontId="0" fillId="6" borderId="14" xfId="0" applyFill="1" applyBorder="1" applyAlignment="1" applyProtection="1">
      <alignment horizontal="center"/>
      <protection locked="0"/>
    </xf>
    <xf numFmtId="0" fontId="0" fillId="6" borderId="15" xfId="0" applyFill="1" applyBorder="1" applyProtection="1">
      <protection locked="0"/>
    </xf>
    <xf numFmtId="0" fontId="0" fillId="6" borderId="7" xfId="0" applyFill="1" applyBorder="1" applyProtection="1">
      <protection locked="0"/>
    </xf>
    <xf numFmtId="0" fontId="0" fillId="0" borderId="22" xfId="0" applyFill="1" applyBorder="1" applyProtection="1">
      <protection locked="0"/>
    </xf>
    <xf numFmtId="10" fontId="0" fillId="21" borderId="1" xfId="0" applyNumberFormat="1" applyFont="1" applyFill="1" applyBorder="1" applyAlignment="1">
      <alignment horizontal="center" vertical="center" wrapText="1"/>
    </xf>
    <xf numFmtId="0" fontId="0" fillId="6" borderId="1" xfId="0" applyFont="1" applyFill="1" applyBorder="1" applyAlignment="1">
      <alignment horizontal="left" vertical="center" wrapText="1"/>
    </xf>
    <xf numFmtId="10" fontId="0" fillId="6" borderId="1" xfId="0" applyNumberFormat="1" applyFont="1" applyFill="1" applyBorder="1" applyAlignment="1">
      <alignment horizontal="center" vertical="center" wrapText="1"/>
    </xf>
    <xf numFmtId="0" fontId="0" fillId="6" borderId="1" xfId="0" applyFont="1" applyFill="1" applyBorder="1" applyAlignment="1">
      <alignment vertical="center" wrapText="1"/>
    </xf>
    <xf numFmtId="10" fontId="0" fillId="2" borderId="1" xfId="0" applyNumberFormat="1" applyFont="1" applyFill="1" applyBorder="1" applyAlignment="1">
      <alignment horizontal="center" vertical="center" wrapText="1"/>
    </xf>
    <xf numFmtId="16" fontId="0" fillId="0" borderId="1" xfId="0" applyNumberFormat="1" applyFill="1" applyBorder="1" applyAlignment="1">
      <alignment horizontal="center" vertical="center"/>
    </xf>
    <xf numFmtId="0" fontId="0" fillId="0" borderId="1" xfId="0" applyFill="1" applyBorder="1" applyAlignment="1">
      <alignment vertical="center" wrapText="1"/>
    </xf>
    <xf numFmtId="2" fontId="0" fillId="0" borderId="1" xfId="0" applyNumberFormat="1" applyFont="1" applyFill="1" applyBorder="1" applyAlignment="1">
      <alignment vertical="center" wrapText="1"/>
    </xf>
    <xf numFmtId="166" fontId="0" fillId="0" borderId="0" xfId="0" applyNumberFormat="1" applyFont="1" applyAlignment="1">
      <alignment vertical="center"/>
    </xf>
    <xf numFmtId="4" fontId="0" fillId="0" borderId="1" xfId="0" applyNumberFormat="1" applyFont="1" applyBorder="1" applyAlignment="1">
      <alignment horizontal="center" vertical="center" wrapText="1"/>
    </xf>
    <xf numFmtId="0" fontId="0" fillId="0" borderId="14" xfId="0" applyBorder="1" applyAlignment="1">
      <alignment wrapText="1"/>
    </xf>
    <xf numFmtId="0" fontId="0" fillId="22" borderId="5" xfId="0" applyFill="1" applyBorder="1" applyAlignment="1">
      <alignment vertical="center"/>
    </xf>
    <xf numFmtId="0" fontId="0" fillId="22" borderId="6" xfId="0" applyFill="1" applyBorder="1" applyAlignment="1">
      <alignment vertical="center"/>
    </xf>
    <xf numFmtId="0" fontId="0" fillId="22" borderId="56" xfId="0" applyFill="1" applyBorder="1" applyAlignment="1">
      <alignment vertical="center"/>
    </xf>
    <xf numFmtId="0" fontId="0" fillId="22" borderId="50" xfId="0" applyFill="1" applyBorder="1" applyAlignment="1"/>
    <xf numFmtId="0" fontId="0" fillId="22" borderId="80" xfId="0" applyFill="1" applyBorder="1" applyAlignment="1"/>
    <xf numFmtId="0" fontId="0" fillId="22" borderId="55" xfId="0" applyFill="1" applyBorder="1" applyAlignment="1"/>
    <xf numFmtId="167" fontId="0" fillId="3" borderId="3" xfId="0" applyNumberFormat="1" applyFont="1" applyFill="1" applyBorder="1" applyAlignment="1">
      <alignment vertical="center" wrapText="1"/>
    </xf>
    <xf numFmtId="167" fontId="0" fillId="7" borderId="3" xfId="0" applyNumberFormat="1" applyFont="1" applyFill="1" applyBorder="1" applyAlignment="1">
      <alignment vertical="center" wrapText="1"/>
    </xf>
    <xf numFmtId="167" fontId="0" fillId="3" borderId="17" xfId="0" applyNumberFormat="1" applyFont="1" applyFill="1" applyBorder="1" applyAlignment="1">
      <alignment vertical="center" wrapText="1"/>
    </xf>
    <xf numFmtId="167" fontId="0" fillId="7" borderId="17" xfId="0" applyNumberFormat="1" applyFont="1" applyFill="1" applyBorder="1" applyAlignment="1">
      <alignment vertical="center" wrapText="1"/>
    </xf>
    <xf numFmtId="167" fontId="4" fillId="3" borderId="24" xfId="0" applyNumberFormat="1" applyFont="1" applyFill="1" applyBorder="1" applyAlignment="1">
      <alignment vertical="center" wrapText="1"/>
    </xf>
    <xf numFmtId="167" fontId="2" fillId="3" borderId="1" xfId="0" applyNumberFormat="1" applyFont="1" applyFill="1" applyBorder="1" applyAlignment="1">
      <alignment vertical="center" wrapText="1"/>
    </xf>
    <xf numFmtId="167" fontId="0" fillId="3" borderId="1" xfId="0" applyNumberFormat="1" applyFont="1" applyFill="1" applyBorder="1" applyAlignment="1">
      <alignment vertical="center" wrapText="1"/>
    </xf>
    <xf numFmtId="0" fontId="0" fillId="0" borderId="0" xfId="0" applyAlignment="1">
      <alignment vertical="center"/>
    </xf>
    <xf numFmtId="0" fontId="0" fillId="0" borderId="0" xfId="0" applyAlignment="1" applyProtection="1">
      <alignment vertical="center"/>
    </xf>
    <xf numFmtId="4" fontId="0" fillId="3" borderId="3" xfId="0" applyNumberFormat="1" applyFill="1" applyBorder="1" applyAlignment="1" applyProtection="1">
      <alignment vertical="center" wrapText="1"/>
    </xf>
    <xf numFmtId="0" fontId="0" fillId="3" borderId="69" xfId="0" applyFill="1" applyBorder="1" applyAlignment="1">
      <alignment vertical="center"/>
    </xf>
    <xf numFmtId="0" fontId="0" fillId="3" borderId="0" xfId="0" applyFill="1" applyBorder="1" applyAlignment="1">
      <alignment vertical="center"/>
    </xf>
    <xf numFmtId="168" fontId="0" fillId="3" borderId="1" xfId="0" applyNumberFormat="1" applyFont="1" applyFill="1" applyBorder="1" applyAlignment="1">
      <alignment vertical="center" wrapText="1"/>
    </xf>
    <xf numFmtId="169" fontId="0" fillId="3" borderId="1" xfId="0" applyNumberFormat="1" applyFont="1" applyFill="1" applyBorder="1" applyAlignment="1">
      <alignment vertical="center" wrapText="1"/>
    </xf>
    <xf numFmtId="170" fontId="11" fillId="3" borderId="1" xfId="0" applyNumberFormat="1" applyFont="1" applyFill="1" applyBorder="1" applyAlignment="1">
      <alignment vertical="center" wrapText="1"/>
    </xf>
    <xf numFmtId="167" fontId="0" fillId="3" borderId="2" xfId="0" applyNumberFormat="1" applyFont="1" applyFill="1" applyBorder="1" applyAlignment="1">
      <alignment vertical="center" wrapText="1"/>
    </xf>
    <xf numFmtId="0" fontId="23" fillId="10" borderId="2" xfId="0" applyFont="1" applyFill="1" applyBorder="1" applyAlignment="1">
      <alignment vertical="center" wrapText="1" readingOrder="1"/>
    </xf>
    <xf numFmtId="0" fontId="23" fillId="10" borderId="49" xfId="0" applyFont="1" applyFill="1" applyBorder="1" applyAlignment="1">
      <alignment horizontal="center" vertical="center" wrapText="1" readingOrder="1"/>
    </xf>
    <xf numFmtId="0" fontId="23" fillId="10" borderId="96" xfId="0" applyFont="1" applyFill="1" applyBorder="1" applyAlignment="1">
      <alignment horizontal="center" vertical="center" wrapText="1" readingOrder="1"/>
    </xf>
    <xf numFmtId="0" fontId="4" fillId="2" borderId="1" xfId="0" applyFont="1" applyFill="1" applyBorder="1" applyAlignment="1" applyProtection="1">
      <alignment horizontal="center" vertical="center" wrapText="1"/>
    </xf>
    <xf numFmtId="0" fontId="5" fillId="0" borderId="0" xfId="0" applyFont="1"/>
    <xf numFmtId="0" fontId="4" fillId="2" borderId="0" xfId="0" applyFont="1" applyFill="1" applyBorder="1" applyAlignment="1" applyProtection="1">
      <alignment horizontal="center" vertical="center" wrapText="1"/>
      <protection locked="0"/>
    </xf>
    <xf numFmtId="0" fontId="0" fillId="2" borderId="0" xfId="0" applyFill="1" applyBorder="1" applyAlignment="1" applyProtection="1">
      <alignment vertical="center"/>
      <protection locked="0"/>
    </xf>
    <xf numFmtId="0" fontId="35" fillId="2" borderId="0" xfId="0" applyFont="1" applyFill="1" applyBorder="1" applyAlignment="1" applyProtection="1">
      <protection locked="0"/>
    </xf>
    <xf numFmtId="0" fontId="0" fillId="2" borderId="62" xfId="0" applyFill="1" applyBorder="1" applyProtection="1">
      <protection locked="0"/>
    </xf>
    <xf numFmtId="0" fontId="0" fillId="2" borderId="97" xfId="0" applyFill="1" applyBorder="1" applyProtection="1">
      <protection locked="0"/>
    </xf>
    <xf numFmtId="0" fontId="4" fillId="0" borderId="97" xfId="0" applyFont="1" applyFill="1" applyBorder="1" applyAlignment="1" applyProtection="1">
      <alignment horizontal="center"/>
      <protection locked="0"/>
    </xf>
    <xf numFmtId="0" fontId="0" fillId="2" borderId="62" xfId="0" applyFill="1" applyBorder="1" applyProtection="1"/>
    <xf numFmtId="0" fontId="4" fillId="2" borderId="15" xfId="0" applyFont="1" applyFill="1" applyBorder="1" applyAlignment="1" applyProtection="1">
      <alignment horizontal="center" vertical="center" wrapText="1"/>
    </xf>
    <xf numFmtId="164" fontId="0" fillId="2" borderId="15" xfId="0" applyNumberFormat="1" applyFill="1" applyBorder="1" applyProtection="1"/>
    <xf numFmtId="0" fontId="0" fillId="2" borderId="14" xfId="0" applyFill="1" applyBorder="1" applyProtection="1"/>
    <xf numFmtId="0" fontId="0" fillId="2" borderId="97" xfId="0" applyFill="1" applyBorder="1" applyProtection="1"/>
    <xf numFmtId="0" fontId="4" fillId="2" borderId="45" xfId="0" applyFont="1" applyFill="1" applyBorder="1" applyAlignment="1" applyProtection="1">
      <alignment horizontal="center" vertical="center" wrapText="1"/>
    </xf>
    <xf numFmtId="164" fontId="4" fillId="2" borderId="15" xfId="0" applyNumberFormat="1" applyFont="1" applyFill="1" applyBorder="1" applyAlignment="1" applyProtection="1">
      <alignment vertical="center"/>
    </xf>
    <xf numFmtId="0" fontId="0" fillId="2" borderId="67" xfId="0" applyFill="1" applyBorder="1" applyProtection="1">
      <protection locked="0"/>
    </xf>
    <xf numFmtId="0" fontId="0" fillId="2" borderId="65" xfId="0" applyFill="1" applyBorder="1" applyProtection="1">
      <protection locked="0"/>
    </xf>
    <xf numFmtId="0" fontId="0" fillId="2" borderId="68" xfId="0" applyFill="1" applyBorder="1" applyProtection="1">
      <protection locked="0"/>
    </xf>
    <xf numFmtId="0" fontId="8" fillId="0" borderId="46" xfId="0" applyFont="1" applyBorder="1" applyAlignment="1" applyProtection="1">
      <alignment vertical="center" wrapText="1"/>
      <protection locked="0"/>
    </xf>
    <xf numFmtId="0" fontId="8" fillId="0" borderId="16" xfId="0" applyFont="1" applyFill="1" applyBorder="1" applyAlignment="1" applyProtection="1">
      <alignment vertical="center" wrapText="1"/>
      <protection locked="0"/>
    </xf>
    <xf numFmtId="0" fontId="26" fillId="0" borderId="0" xfId="1"/>
    <xf numFmtId="10" fontId="0" fillId="0" borderId="1" xfId="0" applyNumberFormat="1" applyFont="1" applyFill="1" applyBorder="1" applyAlignment="1">
      <alignment horizontal="center" vertical="center" wrapText="1"/>
    </xf>
    <xf numFmtId="0" fontId="2" fillId="0" borderId="0" xfId="0" applyFont="1" applyAlignment="1">
      <alignment horizontal="center" vertical="center" wrapText="1"/>
    </xf>
    <xf numFmtId="4" fontId="0" fillId="0" borderId="1" xfId="0" applyNumberFormat="1" applyFont="1" applyFill="1" applyBorder="1" applyAlignment="1" applyProtection="1">
      <alignment horizontal="center" vertical="center" wrapText="1"/>
    </xf>
    <xf numFmtId="0" fontId="31" fillId="0" borderId="0" xfId="0" applyFont="1" applyBorder="1" applyAlignment="1">
      <alignment horizontal="left" vertical="center" wrapText="1"/>
    </xf>
    <xf numFmtId="0" fontId="0" fillId="0" borderId="16" xfId="0" applyFill="1" applyBorder="1" applyProtection="1">
      <protection locked="0"/>
    </xf>
    <xf numFmtId="4" fontId="0" fillId="0" borderId="1" xfId="0" applyNumberFormat="1" applyFont="1" applyFill="1" applyBorder="1" applyAlignment="1" applyProtection="1">
      <alignment horizontal="center" vertical="center" wrapText="1"/>
      <protection locked="0"/>
    </xf>
    <xf numFmtId="2" fontId="0" fillId="3" borderId="14" xfId="0" applyNumberFormat="1" applyFill="1" applyBorder="1"/>
    <xf numFmtId="2" fontId="0" fillId="0" borderId="5" xfId="0" applyNumberFormat="1" applyFill="1" applyBorder="1" applyProtection="1">
      <protection locked="0"/>
    </xf>
    <xf numFmtId="0" fontId="0" fillId="0" borderId="34" xfId="0" applyFill="1" applyBorder="1" applyProtection="1">
      <protection locked="0"/>
    </xf>
    <xf numFmtId="0" fontId="2" fillId="0" borderId="0" xfId="0" applyFont="1" applyBorder="1" applyAlignment="1">
      <alignment horizontal="center" vertical="center" wrapText="1"/>
    </xf>
    <xf numFmtId="167" fontId="11" fillId="3" borderId="2" xfId="0" applyNumberFormat="1" applyFont="1" applyFill="1" applyBorder="1" applyAlignment="1">
      <alignment vertical="center" wrapText="1"/>
    </xf>
    <xf numFmtId="173" fontId="4" fillId="3" borderId="3" xfId="0" applyNumberFormat="1" applyFont="1" applyFill="1" applyBorder="1" applyAlignment="1">
      <alignment vertical="center" wrapText="1"/>
    </xf>
    <xf numFmtId="171" fontId="9" fillId="23" borderId="89" xfId="0" applyNumberFormat="1" applyFont="1" applyFill="1" applyBorder="1" applyAlignment="1" applyProtection="1">
      <alignment horizontal="center" vertical="center" wrapText="1"/>
    </xf>
    <xf numFmtId="170" fontId="9" fillId="23" borderId="66" xfId="0" applyNumberFormat="1" applyFont="1" applyFill="1" applyBorder="1" applyAlignment="1" applyProtection="1">
      <alignment vertical="center" wrapText="1"/>
    </xf>
    <xf numFmtId="172" fontId="9" fillId="6" borderId="98" xfId="0" applyNumberFormat="1" applyFont="1" applyFill="1" applyBorder="1" applyAlignment="1" applyProtection="1">
      <alignment vertical="center" wrapText="1"/>
    </xf>
    <xf numFmtId="172" fontId="9" fillId="6" borderId="92" xfId="0" applyNumberFormat="1" applyFont="1" applyFill="1" applyBorder="1" applyAlignment="1" applyProtection="1">
      <alignment vertical="center" wrapText="1"/>
    </xf>
    <xf numFmtId="167" fontId="11" fillId="3" borderId="102" xfId="0" applyNumberFormat="1" applyFont="1" applyFill="1" applyBorder="1" applyAlignment="1">
      <alignment vertical="center" wrapText="1"/>
    </xf>
    <xf numFmtId="167" fontId="11" fillId="3" borderId="103" xfId="0" applyNumberFormat="1" applyFont="1" applyFill="1" applyBorder="1" applyAlignment="1">
      <alignment vertical="center" wrapText="1"/>
    </xf>
    <xf numFmtId="0" fontId="3" fillId="0" borderId="60" xfId="0" applyFont="1" applyBorder="1" applyAlignment="1">
      <alignment vertical="center" wrapText="1"/>
    </xf>
    <xf numFmtId="0" fontId="9" fillId="23" borderId="93" xfId="0" applyNumberFormat="1" applyFont="1" applyFill="1" applyBorder="1" applyAlignment="1" applyProtection="1">
      <alignment vertical="center" wrapText="1"/>
    </xf>
    <xf numFmtId="170" fontId="9" fillId="6" borderId="108" xfId="0" applyNumberFormat="1" applyFont="1" applyFill="1" applyBorder="1" applyAlignment="1" applyProtection="1">
      <alignment vertical="center" wrapText="1"/>
    </xf>
    <xf numFmtId="170" fontId="9" fillId="23" borderId="107" xfId="0" applyNumberFormat="1" applyFont="1" applyFill="1" applyBorder="1" applyAlignment="1" applyProtection="1">
      <alignment vertical="center" wrapText="1"/>
    </xf>
    <xf numFmtId="0" fontId="8" fillId="0" borderId="14" xfId="0" applyFont="1" applyFill="1" applyBorder="1" applyAlignment="1" applyProtection="1">
      <alignment vertical="center" wrapText="1"/>
      <protection locked="0"/>
    </xf>
    <xf numFmtId="0" fontId="8" fillId="0" borderId="37" xfId="0" applyFont="1" applyFill="1" applyBorder="1" applyProtection="1">
      <protection locked="0"/>
    </xf>
    <xf numFmtId="0" fontId="8" fillId="0" borderId="1" xfId="0" applyFont="1" applyFill="1" applyBorder="1" applyAlignment="1" applyProtection="1">
      <alignment vertical="center" wrapText="1"/>
      <protection locked="0"/>
    </xf>
    <xf numFmtId="0" fontId="8" fillId="0" borderId="37" xfId="0" applyFont="1" applyBorder="1" applyProtection="1">
      <protection locked="0"/>
    </xf>
    <xf numFmtId="171" fontId="9" fillId="0" borderId="91" xfId="0" applyNumberFormat="1" applyFont="1" applyBorder="1" applyAlignment="1" applyProtection="1">
      <alignment horizontal="center" vertical="center" wrapText="1"/>
      <protection locked="0"/>
    </xf>
    <xf numFmtId="0" fontId="23" fillId="19" borderId="9" xfId="0" applyFont="1" applyFill="1" applyBorder="1" applyAlignment="1">
      <alignment vertical="center" wrapText="1" readingOrder="1"/>
    </xf>
    <xf numFmtId="0" fontId="23" fillId="19" borderId="41" xfId="0" applyFont="1" applyFill="1" applyBorder="1" applyAlignment="1">
      <alignment horizontal="center" vertical="center" wrapText="1" readingOrder="1"/>
    </xf>
    <xf numFmtId="0" fontId="23" fillId="19" borderId="48" xfId="0" applyFont="1" applyFill="1" applyBorder="1" applyAlignment="1">
      <alignment horizontal="center" vertical="center" wrapText="1" readingOrder="1"/>
    </xf>
    <xf numFmtId="0" fontId="0" fillId="21" borderId="0" xfId="0" applyFill="1"/>
    <xf numFmtId="0" fontId="0" fillId="0" borderId="73" xfId="0" applyBorder="1"/>
    <xf numFmtId="3" fontId="3" fillId="0" borderId="1" xfId="0" applyNumberFormat="1" applyFont="1" applyBorder="1" applyAlignment="1" applyProtection="1">
      <alignment horizontal="center" vertical="center" wrapText="1"/>
    </xf>
    <xf numFmtId="4" fontId="0" fillId="0" borderId="1" xfId="0" applyNumberFormat="1" applyBorder="1" applyAlignment="1" applyProtection="1">
      <alignment vertical="center" wrapText="1"/>
      <protection locked="0"/>
    </xf>
    <xf numFmtId="165" fontId="0" fillId="0" borderId="84" xfId="0" applyNumberFormat="1" applyBorder="1" applyAlignment="1" applyProtection="1">
      <alignment vertical="center" wrapText="1"/>
      <protection locked="0"/>
    </xf>
    <xf numFmtId="4" fontId="0" fillId="0" borderId="2" xfId="0" applyNumberFormat="1" applyBorder="1" applyAlignment="1" applyProtection="1">
      <alignment horizontal="center" vertical="center" wrapText="1"/>
      <protection locked="0"/>
    </xf>
    <xf numFmtId="4" fontId="0" fillId="2" borderId="2" xfId="0" applyNumberFormat="1" applyFill="1" applyBorder="1" applyAlignment="1" applyProtection="1">
      <alignment horizontal="center" vertical="center" wrapText="1"/>
      <protection locked="0"/>
    </xf>
    <xf numFmtId="174" fontId="0" fillId="0" borderId="0" xfId="0" applyNumberFormat="1"/>
    <xf numFmtId="175" fontId="0" fillId="0" borderId="0" xfId="0" applyNumberFormat="1"/>
    <xf numFmtId="174" fontId="0" fillId="14" borderId="0" xfId="0" applyNumberFormat="1" applyFill="1"/>
    <xf numFmtId="0" fontId="4" fillId="0" borderId="0" xfId="0" applyFont="1"/>
    <xf numFmtId="175" fontId="0" fillId="14" borderId="0" xfId="0" applyNumberFormat="1" applyFill="1"/>
    <xf numFmtId="174" fontId="44" fillId="24" borderId="0" xfId="3" applyNumberFormat="1"/>
    <xf numFmtId="0" fontId="0" fillId="3" borderId="11" xfId="0" applyFont="1" applyFill="1" applyBorder="1" applyAlignment="1">
      <alignment horizontal="center" vertical="center" wrapText="1" readingOrder="1"/>
    </xf>
    <xf numFmtId="0" fontId="0" fillId="3" borderId="19" xfId="0" applyFont="1" applyFill="1" applyBorder="1" applyAlignment="1">
      <alignment horizontal="center" vertical="center" wrapText="1" readingOrder="1"/>
    </xf>
    <xf numFmtId="0" fontId="0" fillId="3" borderId="37" xfId="0" applyFont="1" applyFill="1" applyBorder="1" applyAlignment="1">
      <alignment horizontal="center" vertical="center" wrapText="1" readingOrder="1"/>
    </xf>
    <xf numFmtId="0" fontId="0" fillId="3" borderId="51" xfId="0" applyFont="1" applyFill="1" applyBorder="1" applyAlignment="1">
      <alignment horizontal="center" vertical="center" wrapText="1" readingOrder="1"/>
    </xf>
    <xf numFmtId="0" fontId="0" fillId="3" borderId="14" xfId="0" applyFont="1" applyFill="1" applyBorder="1" applyAlignment="1">
      <alignment horizontal="center" vertical="center" wrapText="1" readingOrder="1"/>
    </xf>
    <xf numFmtId="0" fontId="0" fillId="3" borderId="16" xfId="0" applyFont="1" applyFill="1" applyBorder="1" applyAlignment="1">
      <alignment horizontal="center" vertical="center" wrapText="1" readingOrder="1"/>
    </xf>
    <xf numFmtId="0" fontId="0" fillId="9" borderId="11" xfId="0" applyFont="1" applyFill="1" applyBorder="1" applyAlignment="1">
      <alignment horizontal="center" vertical="center" wrapText="1" readingOrder="1"/>
    </xf>
    <xf numFmtId="0" fontId="0" fillId="9" borderId="19" xfId="0" applyFont="1" applyFill="1" applyBorder="1" applyAlignment="1">
      <alignment horizontal="center" vertical="center" wrapText="1" readingOrder="1"/>
    </xf>
    <xf numFmtId="0" fontId="0" fillId="9" borderId="37" xfId="0" applyFont="1" applyFill="1" applyBorder="1" applyAlignment="1">
      <alignment horizontal="center" vertical="center" wrapText="1" readingOrder="1"/>
    </xf>
    <xf numFmtId="0" fontId="27" fillId="0" borderId="0" xfId="1" applyFont="1" applyAlignment="1">
      <alignment horizontal="center"/>
    </xf>
    <xf numFmtId="0" fontId="0" fillId="13" borderId="51" xfId="0" quotePrefix="1" applyFont="1" applyFill="1" applyBorder="1" applyAlignment="1">
      <alignment horizontal="center" vertical="center" wrapText="1" readingOrder="1"/>
    </xf>
    <xf numFmtId="0" fontId="0" fillId="13" borderId="14" xfId="0" quotePrefix="1" applyFont="1" applyFill="1" applyBorder="1" applyAlignment="1">
      <alignment horizontal="center" vertical="center" wrapText="1" readingOrder="1"/>
    </xf>
    <xf numFmtId="0" fontId="0" fillId="13" borderId="16" xfId="0" quotePrefix="1" applyFont="1" applyFill="1" applyBorder="1" applyAlignment="1">
      <alignment horizontal="center" vertical="center" wrapText="1" readingOrder="1"/>
    </xf>
    <xf numFmtId="0" fontId="0" fillId="13" borderId="62" xfId="0" applyFont="1" applyFill="1" applyBorder="1" applyAlignment="1">
      <alignment horizontal="center" vertical="center" wrapText="1" readingOrder="1"/>
    </xf>
    <xf numFmtId="0" fontId="0" fillId="13" borderId="67" xfId="0" applyFont="1" applyFill="1" applyBorder="1" applyAlignment="1">
      <alignment horizontal="center" vertical="center" wrapText="1" readingOrder="1"/>
    </xf>
    <xf numFmtId="0" fontId="0" fillId="13" borderId="51" xfId="0" applyFont="1" applyFill="1" applyBorder="1" applyAlignment="1">
      <alignment horizontal="center" vertical="center" wrapText="1" readingOrder="1"/>
    </xf>
    <xf numFmtId="0" fontId="0" fillId="13" borderId="14" xfId="0" applyFont="1" applyFill="1" applyBorder="1" applyAlignment="1">
      <alignment horizontal="center" vertical="center" wrapText="1" readingOrder="1"/>
    </xf>
    <xf numFmtId="0" fontId="0" fillId="13" borderId="16" xfId="0" applyFont="1" applyFill="1" applyBorder="1" applyAlignment="1">
      <alignment horizontal="center" vertical="center" wrapText="1" readingOrder="1"/>
    </xf>
    <xf numFmtId="0" fontId="0" fillId="13" borderId="51" xfId="0" applyFont="1" applyFill="1" applyBorder="1" applyAlignment="1">
      <alignment horizontal="left" vertical="center" wrapText="1" readingOrder="1"/>
    </xf>
    <xf numFmtId="0" fontId="0" fillId="13" borderId="14" xfId="0" applyFont="1" applyFill="1" applyBorder="1" applyAlignment="1">
      <alignment horizontal="left" vertical="center" wrapText="1" readingOrder="1"/>
    </xf>
    <xf numFmtId="0" fontId="0" fillId="13" borderId="16" xfId="0" applyFont="1" applyFill="1" applyBorder="1" applyAlignment="1">
      <alignment horizontal="left" vertical="center" wrapText="1" readingOrder="1"/>
    </xf>
    <xf numFmtId="0" fontId="24" fillId="13" borderId="51" xfId="0" applyFont="1" applyFill="1" applyBorder="1" applyAlignment="1">
      <alignment horizontal="left" vertical="center" wrapText="1" readingOrder="1"/>
    </xf>
    <xf numFmtId="0" fontId="24" fillId="13" borderId="16" xfId="0" applyFont="1" applyFill="1" applyBorder="1" applyAlignment="1">
      <alignment horizontal="left" vertical="center" wrapText="1" readingOrder="1"/>
    </xf>
    <xf numFmtId="0" fontId="0" fillId="16" borderId="77" xfId="0" applyFont="1" applyFill="1" applyBorder="1" applyAlignment="1">
      <alignment horizontal="center" vertical="center" wrapText="1" readingOrder="1"/>
    </xf>
    <xf numFmtId="0" fontId="0" fillId="16" borderId="32" xfId="0" applyFont="1" applyFill="1" applyBorder="1" applyAlignment="1">
      <alignment horizontal="center" vertical="center" wrapText="1" readingOrder="1"/>
    </xf>
    <xf numFmtId="0" fontId="0" fillId="16" borderId="33" xfId="0" applyFont="1" applyFill="1" applyBorder="1" applyAlignment="1">
      <alignment horizontal="center" vertical="center" wrapText="1" readingOrder="1"/>
    </xf>
    <xf numFmtId="0" fontId="0" fillId="9" borderId="23" xfId="0" applyFont="1" applyFill="1" applyBorder="1" applyAlignment="1">
      <alignment horizontal="center" vertical="center" wrapText="1" readingOrder="1"/>
    </xf>
    <xf numFmtId="0" fontId="0" fillId="9" borderId="27" xfId="0" applyFont="1" applyFill="1" applyBorder="1" applyAlignment="1">
      <alignment horizontal="center" vertical="center" wrapText="1" readingOrder="1"/>
    </xf>
    <xf numFmtId="0" fontId="0" fillId="9" borderId="26" xfId="0" applyFont="1" applyFill="1" applyBorder="1" applyAlignment="1">
      <alignment horizontal="center" vertical="center" wrapText="1" readingOrder="1"/>
    </xf>
    <xf numFmtId="0" fontId="0" fillId="14" borderId="11" xfId="0" applyFont="1" applyFill="1" applyBorder="1" applyAlignment="1">
      <alignment horizontal="center" vertical="center" wrapText="1" readingOrder="1"/>
    </xf>
    <xf numFmtId="0" fontId="0" fillId="14" borderId="19" xfId="0" applyFont="1" applyFill="1" applyBorder="1" applyAlignment="1">
      <alignment horizontal="center" vertical="center" wrapText="1" readingOrder="1"/>
    </xf>
    <xf numFmtId="0" fontId="0" fillId="14" borderId="51" xfId="0" applyFont="1" applyFill="1" applyBorder="1" applyAlignment="1">
      <alignment horizontal="left" vertical="center" wrapText="1" readingOrder="1"/>
    </xf>
    <xf numFmtId="0" fontId="0" fillId="14" borderId="16" xfId="0" applyFont="1" applyFill="1" applyBorder="1" applyAlignment="1">
      <alignment horizontal="left" vertical="center" wrapText="1" readingOrder="1"/>
    </xf>
    <xf numFmtId="0" fontId="0" fillId="14" borderId="51" xfId="0" applyFont="1" applyFill="1" applyBorder="1" applyAlignment="1">
      <alignment horizontal="center" vertical="center" wrapText="1" readingOrder="1"/>
    </xf>
    <xf numFmtId="0" fontId="0" fillId="14" borderId="14" xfId="0" applyFont="1" applyFill="1" applyBorder="1" applyAlignment="1">
      <alignment horizontal="center" vertical="center" wrapText="1" readingOrder="1"/>
    </xf>
    <xf numFmtId="0" fontId="0" fillId="19" borderId="30" xfId="0" applyFont="1" applyFill="1" applyBorder="1" applyAlignment="1">
      <alignment horizontal="center" vertical="center" wrapText="1" readingOrder="1"/>
    </xf>
    <xf numFmtId="0" fontId="0" fillId="19" borderId="71" xfId="0" applyFont="1" applyFill="1" applyBorder="1" applyAlignment="1">
      <alignment horizontal="center" vertical="center" wrapText="1" readingOrder="1"/>
    </xf>
    <xf numFmtId="0" fontId="0" fillId="19" borderId="54" xfId="0" applyFont="1" applyFill="1" applyBorder="1" applyAlignment="1">
      <alignment horizontal="center" vertical="center" wrapText="1" readingOrder="1"/>
    </xf>
    <xf numFmtId="0" fontId="1" fillId="19" borderId="23" xfId="0" applyFont="1" applyFill="1" applyBorder="1" applyAlignment="1">
      <alignment horizontal="left" vertical="center" wrapText="1" readingOrder="1"/>
    </xf>
    <xf numFmtId="0" fontId="1" fillId="19" borderId="27" xfId="0" applyFont="1" applyFill="1" applyBorder="1" applyAlignment="1">
      <alignment horizontal="left" vertical="center" wrapText="1" readingOrder="1"/>
    </xf>
    <xf numFmtId="0" fontId="1" fillId="19" borderId="26" xfId="0" applyFont="1" applyFill="1" applyBorder="1" applyAlignment="1">
      <alignment horizontal="left" vertical="center" wrapText="1" readingOrder="1"/>
    </xf>
    <xf numFmtId="0" fontId="0" fillId="10" borderId="11" xfId="0" applyFont="1" applyFill="1" applyBorder="1" applyAlignment="1">
      <alignment horizontal="center" vertical="center" wrapText="1" readingOrder="1"/>
    </xf>
    <xf numFmtId="0" fontId="0" fillId="10" borderId="19" xfId="0" applyFont="1" applyFill="1" applyBorder="1" applyAlignment="1">
      <alignment horizontal="center" vertical="center" wrapText="1" readingOrder="1"/>
    </xf>
    <xf numFmtId="0" fontId="0" fillId="10" borderId="37" xfId="0" applyFont="1" applyFill="1" applyBorder="1" applyAlignment="1">
      <alignment horizontal="center" vertical="center" wrapText="1" readingOrder="1"/>
    </xf>
    <xf numFmtId="0" fontId="0" fillId="10" borderId="51" xfId="0" applyFont="1" applyFill="1" applyBorder="1" applyAlignment="1">
      <alignment horizontal="left" vertical="center" wrapText="1" readingOrder="1"/>
    </xf>
    <xf numFmtId="0" fontId="0" fillId="10" borderId="14" xfId="0" applyFont="1" applyFill="1" applyBorder="1" applyAlignment="1">
      <alignment horizontal="left" vertical="center" wrapText="1" readingOrder="1"/>
    </xf>
    <xf numFmtId="0" fontId="0" fillId="10" borderId="46" xfId="0" applyFont="1" applyFill="1" applyBorder="1" applyAlignment="1">
      <alignment horizontal="left" vertical="center" wrapText="1" readingOrder="1"/>
    </xf>
    <xf numFmtId="0" fontId="0" fillId="10" borderId="16" xfId="0" applyFont="1" applyFill="1" applyBorder="1" applyAlignment="1">
      <alignment horizontal="left" vertical="center" wrapText="1" readingOrder="1"/>
    </xf>
    <xf numFmtId="0" fontId="3" fillId="0" borderId="104" xfId="0" applyFont="1" applyBorder="1" applyAlignment="1">
      <alignment horizontal="center" vertical="center" wrapText="1"/>
    </xf>
    <xf numFmtId="0" fontId="3" fillId="0" borderId="105" xfId="0" applyFont="1" applyBorder="1" applyAlignment="1">
      <alignment horizontal="center" vertical="center" wrapText="1"/>
    </xf>
    <xf numFmtId="0" fontId="3" fillId="0" borderId="106" xfId="0" applyFont="1" applyBorder="1" applyAlignment="1">
      <alignment horizontal="center" vertical="center" wrapText="1"/>
    </xf>
    <xf numFmtId="0" fontId="11" fillId="0" borderId="107" xfId="0" applyFont="1" applyBorder="1" applyAlignment="1" applyProtection="1">
      <alignment horizontal="left" vertical="center" wrapText="1"/>
    </xf>
    <xf numFmtId="0" fontId="32" fillId="6" borderId="49"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52"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2" fillId="0" borderId="5" xfId="0" applyFont="1" applyBorder="1" applyAlignment="1" applyProtection="1">
      <alignment horizontal="center" vertical="center" wrapText="1"/>
      <protection locked="0"/>
    </xf>
    <xf numFmtId="0" fontId="2" fillId="0" borderId="7" xfId="0" applyFont="1" applyBorder="1" applyAlignment="1" applyProtection="1">
      <alignment horizontal="center" vertical="center" wrapText="1"/>
      <protection locked="0"/>
    </xf>
    <xf numFmtId="0" fontId="0" fillId="3" borderId="43" xfId="0" applyFont="1" applyFill="1" applyBorder="1" applyAlignment="1">
      <alignment horizontal="center" vertical="center" wrapText="1"/>
    </xf>
    <xf numFmtId="0" fontId="0" fillId="3" borderId="28" xfId="0" applyFont="1" applyFill="1" applyBorder="1" applyAlignment="1">
      <alignment horizontal="center" vertical="center" wrapText="1"/>
    </xf>
    <xf numFmtId="0" fontId="0" fillId="0" borderId="51" xfId="0" applyFont="1" applyBorder="1" applyAlignment="1">
      <alignment horizontal="left" vertical="center" wrapText="1"/>
    </xf>
    <xf numFmtId="0" fontId="0" fillId="0" borderId="24" xfId="0" applyFont="1" applyBorder="1" applyAlignment="1">
      <alignment horizontal="left" vertical="center" wrapText="1"/>
    </xf>
    <xf numFmtId="0" fontId="0" fillId="0" borderId="19" xfId="0" applyFont="1" applyBorder="1" applyAlignment="1">
      <alignment horizontal="left" vertical="center" wrapText="1"/>
    </xf>
    <xf numFmtId="0" fontId="0" fillId="0" borderId="6" xfId="0" applyFont="1" applyBorder="1" applyAlignment="1">
      <alignment horizontal="left" vertical="center" wrapText="1"/>
    </xf>
    <xf numFmtId="0" fontId="0" fillId="0" borderId="7" xfId="0" applyFont="1" applyBorder="1" applyAlignment="1">
      <alignment horizontal="left" vertical="center" wrapText="1"/>
    </xf>
    <xf numFmtId="0" fontId="0" fillId="0" borderId="37" xfId="0" applyFont="1" applyBorder="1" applyAlignment="1">
      <alignment horizontal="left" vertical="center" wrapText="1"/>
    </xf>
    <xf numFmtId="0" fontId="0" fillId="0" borderId="80" xfId="0" applyFont="1" applyBorder="1" applyAlignment="1">
      <alignment horizontal="left" vertical="center" wrapText="1"/>
    </xf>
    <xf numFmtId="0" fontId="0" fillId="0" borderId="29" xfId="0" applyFont="1" applyBorder="1" applyAlignment="1">
      <alignment horizontal="left" vertical="center" wrapText="1"/>
    </xf>
    <xf numFmtId="0" fontId="0" fillId="0" borderId="5" xfId="0" applyFont="1" applyBorder="1" applyAlignment="1" applyProtection="1">
      <alignment horizontal="center" vertical="center" wrapText="1"/>
      <protection locked="0"/>
    </xf>
    <xf numFmtId="0" fontId="0" fillId="0" borderId="7" xfId="0" applyFont="1" applyBorder="1" applyAlignment="1" applyProtection="1">
      <alignment horizontal="center" vertical="center" wrapText="1"/>
      <protection locked="0"/>
    </xf>
    <xf numFmtId="0" fontId="2" fillId="0" borderId="49" xfId="0" applyFont="1" applyBorder="1" applyAlignment="1">
      <alignment horizontal="left" vertical="center" wrapText="1"/>
    </xf>
    <xf numFmtId="0" fontId="2" fillId="0" borderId="73" xfId="0" applyFont="1" applyBorder="1" applyAlignment="1">
      <alignment horizontal="left" vertical="center" wrapText="1"/>
    </xf>
    <xf numFmtId="0" fontId="2" fillId="0" borderId="70" xfId="0" applyFont="1" applyBorder="1" applyAlignment="1">
      <alignment horizontal="left" vertical="center" wrapText="1"/>
    </xf>
    <xf numFmtId="0" fontId="2" fillId="0" borderId="0" xfId="0" applyFont="1" applyBorder="1" applyAlignment="1">
      <alignment horizontal="left" vertical="center" wrapText="1"/>
    </xf>
    <xf numFmtId="0" fontId="2" fillId="0" borderId="52" xfId="0" applyFont="1" applyBorder="1" applyAlignment="1">
      <alignment horizontal="left" vertical="center" wrapText="1"/>
    </xf>
    <xf numFmtId="0" fontId="2" fillId="0" borderId="74" xfId="0"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4" fillId="0" borderId="78" xfId="0" applyFont="1" applyBorder="1" applyAlignment="1">
      <alignment horizontal="left" vertical="center" wrapText="1"/>
    </xf>
    <xf numFmtId="0" fontId="0" fillId="3" borderId="79" xfId="0" applyFont="1" applyFill="1" applyBorder="1" applyAlignment="1">
      <alignment horizontal="center" vertical="center" wrapText="1"/>
    </xf>
    <xf numFmtId="0" fontId="0" fillId="3" borderId="0" xfId="0" applyFont="1" applyFill="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2" fillId="0" borderId="35" xfId="0" applyFont="1" applyBorder="1" applyAlignment="1">
      <alignment horizontal="left" wrapText="1"/>
    </xf>
    <xf numFmtId="0" fontId="2" fillId="0" borderId="20" xfId="0" applyFont="1" applyBorder="1" applyAlignment="1">
      <alignment horizontal="left" wrapText="1"/>
    </xf>
    <xf numFmtId="0" fontId="2" fillId="0" borderId="21" xfId="0" applyFont="1" applyBorder="1" applyAlignment="1">
      <alignment horizontal="left" wrapText="1"/>
    </xf>
    <xf numFmtId="0" fontId="2" fillId="0" borderId="67" xfId="0" applyFont="1" applyBorder="1" applyAlignment="1">
      <alignment horizontal="left" wrapText="1"/>
    </xf>
    <xf numFmtId="0" fontId="2" fillId="0" borderId="65" xfId="0" applyFont="1" applyBorder="1" applyAlignment="1">
      <alignment horizontal="left" wrapText="1"/>
    </xf>
    <xf numFmtId="0" fontId="2" fillId="0" borderId="68" xfId="0" applyFont="1" applyBorder="1" applyAlignment="1">
      <alignment horizontal="left" wrapText="1"/>
    </xf>
    <xf numFmtId="0" fontId="2" fillId="0" borderId="62" xfId="0" applyFont="1" applyBorder="1" applyAlignment="1">
      <alignment horizontal="left" vertical="center" wrapText="1"/>
    </xf>
    <xf numFmtId="0" fontId="2" fillId="0" borderId="69" xfId="0" applyFont="1" applyBorder="1" applyAlignment="1">
      <alignment horizontal="left" vertical="center" wrapText="1"/>
    </xf>
    <xf numFmtId="0" fontId="0" fillId="0" borderId="24" xfId="0" applyFont="1" applyBorder="1" applyAlignment="1">
      <alignment horizontal="center" vertical="center" wrapText="1"/>
    </xf>
    <xf numFmtId="0" fontId="0" fillId="0" borderId="1"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15"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 xfId="0" applyFont="1" applyBorder="1" applyAlignment="1">
      <alignment horizontal="center" vertical="center" wrapText="1"/>
    </xf>
    <xf numFmtId="0" fontId="10" fillId="0" borderId="0" xfId="0" applyFont="1" applyAlignment="1">
      <alignment horizontal="center" vertical="center" wrapText="1"/>
    </xf>
    <xf numFmtId="0" fontId="5" fillId="4" borderId="38" xfId="0" applyFont="1" applyFill="1" applyBorder="1" applyAlignment="1">
      <alignment horizontal="center" vertical="center"/>
    </xf>
    <xf numFmtId="0" fontId="5" fillId="4" borderId="39" xfId="0" applyFont="1" applyFill="1" applyBorder="1" applyAlignment="1">
      <alignment horizontal="center" vertical="center"/>
    </xf>
    <xf numFmtId="0" fontId="5" fillId="4" borderId="42" xfId="0" applyFont="1" applyFill="1" applyBorder="1" applyAlignment="1">
      <alignment horizontal="center" vertical="center"/>
    </xf>
    <xf numFmtId="0" fontId="5" fillId="4" borderId="38" xfId="0" applyFont="1" applyFill="1" applyBorder="1" applyAlignment="1">
      <alignment horizontal="center" vertical="center" wrapText="1"/>
    </xf>
    <xf numFmtId="0" fontId="5" fillId="4" borderId="40" xfId="0" applyFont="1" applyFill="1" applyBorder="1" applyAlignment="1">
      <alignment horizontal="center" vertical="center" wrapText="1"/>
    </xf>
    <xf numFmtId="0" fontId="5" fillId="4" borderId="39" xfId="0" applyFont="1" applyFill="1" applyBorder="1" applyAlignment="1">
      <alignment horizontal="center" vertical="center" wrapText="1"/>
    </xf>
    <xf numFmtId="0" fontId="5" fillId="4" borderId="42" xfId="0" applyFont="1" applyFill="1" applyBorder="1" applyAlignment="1">
      <alignment horizontal="center" vertical="center" wrapText="1"/>
    </xf>
    <xf numFmtId="0" fontId="9" fillId="0" borderId="38" xfId="0" applyFont="1" applyFill="1" applyBorder="1" applyAlignment="1">
      <alignment horizontal="left" vertical="center" wrapText="1"/>
    </xf>
    <xf numFmtId="0" fontId="9" fillId="0" borderId="39" xfId="0" applyFont="1" applyFill="1" applyBorder="1" applyAlignment="1">
      <alignment horizontal="left" vertical="center" wrapText="1"/>
    </xf>
    <xf numFmtId="0" fontId="9" fillId="0" borderId="75" xfId="0" applyFont="1" applyFill="1" applyBorder="1" applyAlignment="1">
      <alignment horizontal="left" vertical="center" wrapText="1"/>
    </xf>
    <xf numFmtId="0" fontId="9" fillId="0" borderId="35" xfId="0" applyFont="1" applyFill="1" applyBorder="1" applyAlignment="1">
      <alignment horizontal="center" vertical="center"/>
    </xf>
    <xf numFmtId="0" fontId="9" fillId="0" borderId="20" xfId="0" applyFont="1" applyFill="1" applyBorder="1" applyAlignment="1">
      <alignment horizontal="center" vertical="center"/>
    </xf>
    <xf numFmtId="0" fontId="9" fillId="0" borderId="82" xfId="0" applyFont="1" applyFill="1" applyBorder="1" applyAlignment="1">
      <alignment horizontal="center" vertical="center"/>
    </xf>
    <xf numFmtId="0" fontId="2" fillId="0" borderId="46"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62" xfId="0" applyFont="1" applyBorder="1" applyAlignment="1">
      <alignment horizontal="center" vertical="center" wrapText="1"/>
    </xf>
    <xf numFmtId="0" fontId="8" fillId="0" borderId="46"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34"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2" xfId="0" applyFont="1" applyBorder="1" applyAlignment="1">
      <alignment horizontal="center" vertical="center" wrapText="1"/>
    </xf>
    <xf numFmtId="0" fontId="4" fillId="0" borderId="5" xfId="0" applyFont="1" applyBorder="1" applyAlignment="1" applyProtection="1">
      <alignment horizontal="center" vertical="center" wrapText="1"/>
      <protection locked="0"/>
    </xf>
    <xf numFmtId="0" fontId="4" fillId="0" borderId="6" xfId="0" applyFont="1" applyBorder="1" applyAlignment="1" applyProtection="1">
      <alignment horizontal="center" vertical="center" wrapText="1"/>
      <protection locked="0"/>
    </xf>
    <xf numFmtId="0" fontId="4" fillId="0" borderId="7" xfId="0" applyFont="1" applyBorder="1" applyAlignment="1" applyProtection="1">
      <alignment horizontal="center" vertical="center" wrapText="1"/>
      <protection locked="0"/>
    </xf>
    <xf numFmtId="0" fontId="8" fillId="0" borderId="0" xfId="0" applyFont="1" applyAlignment="1">
      <alignment horizontal="left" vertical="center" wrapText="1"/>
    </xf>
    <xf numFmtId="0" fontId="2" fillId="0" borderId="0" xfId="0" applyFont="1" applyAlignment="1">
      <alignment horizontal="left" vertical="center" wrapText="1"/>
    </xf>
    <xf numFmtId="0" fontId="41" fillId="0" borderId="65" xfId="0" applyFont="1" applyBorder="1" applyAlignment="1">
      <alignment horizontal="center" vertical="center" wrapText="1"/>
    </xf>
    <xf numFmtId="0" fontId="41" fillId="0" borderId="65" xfId="0" applyFont="1" applyBorder="1" applyAlignment="1">
      <alignment horizontal="left" vertical="center" wrapText="1"/>
    </xf>
    <xf numFmtId="0" fontId="31" fillId="0" borderId="14" xfId="0" applyFont="1" applyBorder="1" applyAlignment="1">
      <alignment horizontal="left" vertical="center" wrapText="1"/>
    </xf>
    <xf numFmtId="0" fontId="31" fillId="0" borderId="1" xfId="0" applyFont="1" applyBorder="1" applyAlignment="1">
      <alignment horizontal="left" vertical="center" wrapText="1"/>
    </xf>
    <xf numFmtId="0" fontId="11" fillId="0" borderId="89" xfId="0" applyFont="1" applyBorder="1" applyAlignment="1" applyProtection="1">
      <alignment horizontal="left" vertical="center" wrapText="1"/>
    </xf>
    <xf numFmtId="0" fontId="5" fillId="4" borderId="67" xfId="0" applyFont="1" applyFill="1" applyBorder="1" applyAlignment="1">
      <alignment horizontal="center" vertical="center" wrapText="1"/>
    </xf>
    <xf numFmtId="0" fontId="5" fillId="4" borderId="63" xfId="0" applyFont="1" applyFill="1" applyBorder="1" applyAlignment="1">
      <alignment horizontal="center" vertical="center" wrapText="1"/>
    </xf>
    <xf numFmtId="0" fontId="11" fillId="0" borderId="88" xfId="0" applyFont="1" applyBorder="1" applyAlignment="1" applyProtection="1">
      <alignment horizontal="left" vertical="center" wrapText="1"/>
    </xf>
    <xf numFmtId="0" fontId="1" fillId="0" borderId="0" xfId="0" applyFont="1" applyBorder="1" applyAlignment="1">
      <alignment horizontal="left" vertical="center" wrapText="1"/>
    </xf>
    <xf numFmtId="0" fontId="11" fillId="0" borderId="90" xfId="0" applyFont="1" applyBorder="1" applyAlignment="1" applyProtection="1">
      <alignment horizontal="left" vertical="center" wrapText="1"/>
    </xf>
    <xf numFmtId="0" fontId="11" fillId="0" borderId="91" xfId="0" applyFont="1" applyBorder="1" applyAlignment="1" applyProtection="1">
      <alignment horizontal="left" vertical="center" wrapText="1"/>
    </xf>
    <xf numFmtId="0" fontId="2" fillId="0" borderId="0" xfId="0" applyFont="1" applyAlignment="1">
      <alignment horizontal="center"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0" borderId="5" xfId="0" applyFont="1" applyBorder="1" applyAlignment="1" applyProtection="1">
      <alignment horizontal="center" vertical="center" wrapText="1"/>
      <protection locked="0"/>
    </xf>
    <xf numFmtId="0" fontId="3" fillId="0" borderId="6" xfId="0" applyFont="1" applyBorder="1" applyAlignment="1" applyProtection="1">
      <alignment horizontal="center" vertical="center" wrapText="1"/>
      <protection locked="0"/>
    </xf>
    <xf numFmtId="0" fontId="31" fillId="0" borderId="16" xfId="0" applyFont="1" applyBorder="1" applyAlignment="1">
      <alignment horizontal="left" vertical="center" wrapText="1"/>
    </xf>
    <xf numFmtId="0" fontId="31" fillId="0" borderId="17" xfId="0" applyFont="1" applyBorder="1" applyAlignment="1">
      <alignment horizontal="left" vertical="center" wrapText="1"/>
    </xf>
    <xf numFmtId="0" fontId="29" fillId="0" borderId="38" xfId="0" applyFont="1" applyBorder="1" applyAlignment="1">
      <alignment horizontal="center" vertical="center"/>
    </xf>
    <xf numFmtId="0" fontId="29" fillId="0" borderId="39" xfId="0" applyFont="1" applyBorder="1" applyAlignment="1">
      <alignment horizontal="center" vertical="center"/>
    </xf>
    <xf numFmtId="0" fontId="29" fillId="0" borderId="42" xfId="0" applyFont="1" applyBorder="1" applyAlignment="1">
      <alignment horizontal="center" vertical="center"/>
    </xf>
    <xf numFmtId="0" fontId="30" fillId="0" borderId="34" xfId="0" applyFont="1" applyBorder="1" applyAlignment="1">
      <alignment horizontal="left" vertical="center" wrapText="1"/>
    </xf>
    <xf numFmtId="0" fontId="30" fillId="0" borderId="3" xfId="0" applyFont="1" applyBorder="1" applyAlignment="1">
      <alignment horizontal="left" vertical="center" wrapText="1"/>
    </xf>
    <xf numFmtId="0" fontId="9" fillId="0" borderId="5"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9" fillId="0" borderId="7" xfId="0" applyFont="1" applyBorder="1" applyAlignment="1" applyProtection="1">
      <alignment horizontal="left" vertical="center" wrapText="1"/>
      <protection locked="0"/>
    </xf>
    <xf numFmtId="0" fontId="11" fillId="0" borderId="19" xfId="0" applyFont="1" applyBorder="1" applyAlignment="1">
      <alignment horizontal="left" vertical="center" wrapText="1"/>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2" fillId="0" borderId="19"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11" fillId="0" borderId="99" xfId="0" applyFont="1" applyBorder="1" applyAlignment="1">
      <alignment horizontal="left" vertical="center" wrapText="1"/>
    </xf>
    <xf numFmtId="0" fontId="11" fillId="0" borderId="100" xfId="0" applyFont="1" applyBorder="1" applyAlignment="1">
      <alignment horizontal="left" vertical="center" wrapText="1"/>
    </xf>
    <xf numFmtId="0" fontId="11" fillId="0" borderId="101" xfId="0" applyFont="1" applyBorder="1" applyAlignment="1">
      <alignment horizontal="left" vertical="center" wrapText="1"/>
    </xf>
    <xf numFmtId="0" fontId="0" fillId="0" borderId="44" xfId="0" applyFont="1" applyBorder="1" applyAlignment="1">
      <alignment horizontal="left" vertical="center" wrapText="1"/>
    </xf>
    <xf numFmtId="0" fontId="0" fillId="0" borderId="73" xfId="0" applyFont="1" applyBorder="1" applyAlignment="1">
      <alignment horizontal="left" vertical="center" wrapText="1"/>
    </xf>
    <xf numFmtId="0" fontId="0" fillId="0" borderId="47" xfId="0" applyFont="1" applyBorder="1" applyAlignment="1">
      <alignment horizontal="left" vertical="center" wrapText="1"/>
    </xf>
    <xf numFmtId="0" fontId="4" fillId="0" borderId="36" xfId="0" applyFont="1" applyBorder="1" applyAlignment="1">
      <alignment horizontal="left" vertical="center" wrapText="1"/>
    </xf>
    <xf numFmtId="0" fontId="4" fillId="0" borderId="74" xfId="0" applyFont="1" applyBorder="1" applyAlignment="1">
      <alignment horizontal="left" vertical="center" wrapText="1"/>
    </xf>
    <xf numFmtId="0" fontId="4" fillId="0" borderId="4" xfId="0" applyFont="1" applyBorder="1" applyAlignment="1">
      <alignment horizontal="left" vertical="center" wrapText="1"/>
    </xf>
    <xf numFmtId="0" fontId="0" fillId="6" borderId="5" xfId="0" applyFont="1" applyFill="1" applyBorder="1" applyAlignment="1">
      <alignment horizontal="center" vertical="center" wrapText="1"/>
    </xf>
    <xf numFmtId="0" fontId="0" fillId="6" borderId="6" xfId="0" applyFont="1" applyFill="1" applyBorder="1" applyAlignment="1">
      <alignment horizontal="center" vertical="center" wrapText="1"/>
    </xf>
    <xf numFmtId="0" fontId="0" fillId="6" borderId="7" xfId="0" applyFont="1" applyFill="1" applyBorder="1" applyAlignment="1">
      <alignment horizontal="center" vertical="center" wrapText="1"/>
    </xf>
    <xf numFmtId="0" fontId="2" fillId="6" borderId="49" xfId="0" applyFont="1" applyFill="1" applyBorder="1" applyAlignment="1">
      <alignment horizontal="center" vertical="center" wrapText="1"/>
    </xf>
    <xf numFmtId="0" fontId="2" fillId="6" borderId="47" xfId="0" applyFont="1" applyFill="1" applyBorder="1" applyAlignment="1">
      <alignment horizontal="center" vertical="center" wrapText="1"/>
    </xf>
    <xf numFmtId="0" fontId="2" fillId="6" borderId="70" xfId="0" applyFont="1" applyFill="1" applyBorder="1" applyAlignment="1">
      <alignment horizontal="center" vertical="center" wrapText="1"/>
    </xf>
    <xf numFmtId="0" fontId="2" fillId="6" borderId="69" xfId="0" applyFont="1" applyFill="1" applyBorder="1" applyAlignment="1">
      <alignment horizontal="center" vertical="center" wrapText="1"/>
    </xf>
    <xf numFmtId="0" fontId="2" fillId="6" borderId="52"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1" fillId="0" borderId="70" xfId="0" applyFont="1" applyFill="1" applyBorder="1" applyAlignment="1">
      <alignment horizontal="center" vertical="center" wrapText="1"/>
    </xf>
    <xf numFmtId="0" fontId="1" fillId="0" borderId="0" xfId="0" applyFont="1" applyFill="1" applyAlignment="1">
      <alignment horizontal="center" vertical="center" wrapText="1"/>
    </xf>
    <xf numFmtId="0" fontId="1" fillId="21" borderId="70" xfId="0" applyFont="1" applyFill="1" applyBorder="1" applyAlignment="1">
      <alignment horizontal="center" vertical="center" wrapText="1"/>
    </xf>
    <xf numFmtId="0" fontId="1" fillId="21" borderId="0" xfId="0" applyFont="1" applyFill="1" applyAlignment="1">
      <alignment horizontal="center" vertical="center" wrapText="1"/>
    </xf>
    <xf numFmtId="0" fontId="4" fillId="0" borderId="11"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2" xfId="0" applyFont="1" applyBorder="1" applyAlignment="1">
      <alignment horizontal="center" wrapText="1"/>
    </xf>
    <xf numFmtId="0" fontId="4" fillId="0" borderId="13" xfId="0" applyFont="1" applyBorder="1" applyAlignment="1">
      <alignment horizontal="center" wrapText="1"/>
    </xf>
    <xf numFmtId="0" fontId="4" fillId="0" borderId="23" xfId="0" applyFont="1" applyBorder="1" applyAlignment="1">
      <alignment horizontal="center" vertical="center"/>
    </xf>
    <xf numFmtId="0" fontId="4" fillId="0" borderId="26" xfId="0" applyFont="1" applyBorder="1" applyAlignment="1">
      <alignment horizontal="center" vertical="center"/>
    </xf>
    <xf numFmtId="0" fontId="4" fillId="0" borderId="38" xfId="0" applyFont="1" applyBorder="1" applyAlignment="1">
      <alignment horizontal="center"/>
    </xf>
    <xf numFmtId="0" fontId="4" fillId="0" borderId="39" xfId="0" applyFont="1" applyBorder="1" applyAlignment="1">
      <alignment horizontal="center"/>
    </xf>
    <xf numFmtId="0" fontId="4" fillId="0" borderId="40" xfId="0" applyFont="1" applyBorder="1" applyAlignment="1">
      <alignment horizontal="center"/>
    </xf>
    <xf numFmtId="0" fontId="4" fillId="0" borderId="41" xfId="0" applyFont="1" applyBorder="1" applyAlignment="1">
      <alignment horizontal="center"/>
    </xf>
    <xf numFmtId="0" fontId="4" fillId="0" borderId="42" xfId="0" applyFont="1" applyBorder="1" applyAlignment="1">
      <alignment horizontal="center"/>
    </xf>
    <xf numFmtId="0" fontId="4" fillId="0" borderId="43" xfId="0" applyFont="1" applyBorder="1" applyAlignment="1">
      <alignment horizontal="center" vertical="center"/>
    </xf>
    <xf numFmtId="0" fontId="4" fillId="0" borderId="28" xfId="0" applyFont="1" applyBorder="1" applyAlignment="1">
      <alignment horizontal="center" vertical="center"/>
    </xf>
    <xf numFmtId="0" fontId="4" fillId="0" borderId="12" xfId="0" applyFont="1" applyBorder="1" applyAlignment="1">
      <alignment horizontal="center" vertical="center" wrapText="1"/>
    </xf>
    <xf numFmtId="0" fontId="4" fillId="0" borderId="11" xfId="0" applyFont="1" applyBorder="1" applyAlignment="1">
      <alignment horizontal="center" wrapText="1"/>
    </xf>
    <xf numFmtId="0" fontId="4" fillId="0" borderId="35" xfId="0" applyFont="1" applyBorder="1" applyAlignment="1">
      <alignment horizontal="center"/>
    </xf>
    <xf numFmtId="0" fontId="4" fillId="0" borderId="20" xfId="0" applyFont="1" applyBorder="1" applyAlignment="1">
      <alignment horizontal="center"/>
    </xf>
    <xf numFmtId="0" fontId="4" fillId="0" borderId="21" xfId="0" applyFont="1" applyBorder="1" applyAlignment="1">
      <alignment horizontal="center"/>
    </xf>
    <xf numFmtId="0" fontId="6" fillId="5" borderId="1" xfId="0" applyFont="1" applyFill="1" applyBorder="1" applyAlignment="1">
      <alignment horizontal="center" vertical="center" wrapText="1"/>
    </xf>
    <xf numFmtId="0" fontId="4" fillId="0" borderId="35" xfId="0" applyFont="1" applyBorder="1" applyAlignment="1">
      <alignment horizontal="center" vertical="center"/>
    </xf>
    <xf numFmtId="0" fontId="4" fillId="0" borderId="36"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6" fillId="3" borderId="16"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18" fillId="0" borderId="38" xfId="0" applyFont="1" applyFill="1" applyBorder="1" applyAlignment="1">
      <alignment horizontal="left" vertical="center" wrapText="1"/>
    </xf>
    <xf numFmtId="0" fontId="19" fillId="0" borderId="39" xfId="0" applyFont="1" applyFill="1" applyBorder="1" applyAlignment="1">
      <alignment horizontal="left" vertical="center" wrapText="1"/>
    </xf>
    <xf numFmtId="0" fontId="19" fillId="0" borderId="42" xfId="0" applyFont="1" applyFill="1" applyBorder="1" applyAlignment="1">
      <alignment horizontal="left" vertical="center" wrapText="1"/>
    </xf>
    <xf numFmtId="0" fontId="11" fillId="20" borderId="14" xfId="0" applyFont="1" applyFill="1" applyBorder="1" applyAlignment="1" applyProtection="1">
      <alignment horizontal="center"/>
      <protection locked="0"/>
    </xf>
    <xf numFmtId="0" fontId="11" fillId="20" borderId="1" xfId="0" applyFont="1" applyFill="1" applyBorder="1" applyAlignment="1" applyProtection="1">
      <alignment horizontal="center"/>
      <protection locked="0"/>
    </xf>
    <xf numFmtId="0" fontId="4" fillId="2" borderId="1" xfId="0" applyFont="1" applyFill="1" applyBorder="1" applyAlignment="1" applyProtection="1">
      <alignment horizontal="center"/>
    </xf>
    <xf numFmtId="0" fontId="4" fillId="2" borderId="15" xfId="0" applyFont="1" applyFill="1" applyBorder="1" applyAlignment="1" applyProtection="1">
      <alignment horizontal="center"/>
    </xf>
    <xf numFmtId="0" fontId="4" fillId="2" borderId="14" xfId="0" applyFont="1" applyFill="1" applyBorder="1" applyAlignment="1" applyProtection="1">
      <alignment horizontal="center" vertical="center" wrapText="1"/>
    </xf>
    <xf numFmtId="0" fontId="4" fillId="2" borderId="1" xfId="0" applyFont="1" applyFill="1" applyBorder="1" applyAlignment="1" applyProtection="1">
      <alignment horizontal="center" vertical="center" wrapText="1"/>
    </xf>
    <xf numFmtId="0" fontId="4" fillId="2" borderId="19" xfId="0" applyFont="1" applyFill="1" applyBorder="1" applyAlignment="1" applyProtection="1">
      <alignment horizontal="center" vertical="center"/>
    </xf>
    <xf numFmtId="0" fontId="4" fillId="2" borderId="7" xfId="0" applyFont="1" applyFill="1" applyBorder="1" applyAlignment="1" applyProtection="1">
      <alignment horizontal="center" vertical="center"/>
    </xf>
    <xf numFmtId="0" fontId="4" fillId="5" borderId="30" xfId="0" applyFont="1" applyFill="1" applyBorder="1" applyAlignment="1">
      <alignment horizontal="center" vertical="center" wrapText="1"/>
    </xf>
    <xf numFmtId="0" fontId="4" fillId="5" borderId="54" xfId="0" applyFont="1" applyFill="1" applyBorder="1" applyAlignment="1">
      <alignment horizontal="center" vertical="center" wrapText="1"/>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42" xfId="0" applyFont="1" applyBorder="1" applyAlignment="1">
      <alignment horizontal="center" vertical="center"/>
    </xf>
    <xf numFmtId="0" fontId="0" fillId="2" borderId="19" xfId="0" applyFill="1" applyBorder="1" applyAlignment="1" applyProtection="1">
      <alignment horizontal="left"/>
    </xf>
    <xf numFmtId="0" fontId="0" fillId="2" borderId="7" xfId="0" applyFill="1" applyBorder="1" applyAlignment="1" applyProtection="1">
      <alignment horizontal="left"/>
    </xf>
    <xf numFmtId="0" fontId="35" fillId="20" borderId="11" xfId="0" applyFont="1" applyFill="1" applyBorder="1" applyAlignment="1" applyProtection="1">
      <alignment horizontal="center"/>
      <protection locked="0"/>
    </xf>
    <xf numFmtId="0" fontId="35" fillId="20" borderId="12" xfId="0" applyFont="1" applyFill="1" applyBorder="1" applyAlignment="1" applyProtection="1">
      <alignment horizontal="center"/>
      <protection locked="0"/>
    </xf>
    <xf numFmtId="0" fontId="35" fillId="20" borderId="13" xfId="0" applyFont="1" applyFill="1" applyBorder="1" applyAlignment="1" applyProtection="1">
      <alignment horizontal="center"/>
      <protection locked="0"/>
    </xf>
    <xf numFmtId="176" fontId="0" fillId="0" borderId="0" xfId="0" applyNumberFormat="1"/>
    <xf numFmtId="0" fontId="2" fillId="0" borderId="0" xfId="0" applyFont="1" applyAlignment="1">
      <alignment horizontal="right"/>
    </xf>
    <xf numFmtId="176" fontId="2" fillId="0" borderId="0" xfId="0" applyNumberFormat="1" applyFont="1"/>
  </cellXfs>
  <cellStyles count="4">
    <cellStyle name="Lien hypertexte" xfId="1" builtinId="8"/>
    <cellStyle name="Neutre" xfId="3" builtinId="2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131446</xdr:colOff>
      <xdr:row>0</xdr:row>
      <xdr:rowOff>115973</xdr:rowOff>
    </xdr:from>
    <xdr:to>
      <xdr:col>1</xdr:col>
      <xdr:colOff>344806</xdr:colOff>
      <xdr:row>1</xdr:row>
      <xdr:rowOff>105992</xdr:rowOff>
    </xdr:to>
    <xdr:pic>
      <xdr:nvPicPr>
        <xdr:cNvPr id="2" name="Imag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31446" y="115973"/>
          <a:ext cx="1365885" cy="390069"/>
        </a:xfrm>
        <a:prstGeom prst="rect">
          <a:avLst/>
        </a:prstGeom>
      </xdr:spPr>
    </xdr:pic>
    <xdr:clientData/>
  </xdr:twoCellAnchor>
  <xdr:twoCellAnchor editAs="oneCell">
    <xdr:from>
      <xdr:col>5</xdr:col>
      <xdr:colOff>0</xdr:colOff>
      <xdr:row>4</xdr:row>
      <xdr:rowOff>0</xdr:rowOff>
    </xdr:from>
    <xdr:to>
      <xdr:col>5</xdr:col>
      <xdr:colOff>304800</xdr:colOff>
      <xdr:row>4</xdr:row>
      <xdr:rowOff>304800</xdr:rowOff>
    </xdr:to>
    <xdr:sp macro="" textlink="">
      <xdr:nvSpPr>
        <xdr:cNvPr id="1027" name="AutoShape 3" descr="Fichier:CEA logotype2012.png">
          <a:extLst>
            <a:ext uri="{FF2B5EF4-FFF2-40B4-BE49-F238E27FC236}">
              <a16:creationId xmlns:a16="http://schemas.microsoft.com/office/drawing/2014/main" id="{00000000-0008-0000-0300-000003040000}"/>
            </a:ext>
          </a:extLst>
        </xdr:cNvPr>
        <xdr:cNvSpPr>
          <a:spLocks noChangeAspect="1" noChangeArrowheads="1"/>
        </xdr:cNvSpPr>
      </xdr:nvSpPr>
      <xdr:spPr bwMode="auto">
        <a:xfrm>
          <a:off x="7353300" y="845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114300</xdr:colOff>
      <xdr:row>22</xdr:row>
      <xdr:rowOff>28575</xdr:rowOff>
    </xdr:from>
    <xdr:to>
      <xdr:col>5</xdr:col>
      <xdr:colOff>541020</xdr:colOff>
      <xdr:row>25</xdr:row>
      <xdr:rowOff>15240</xdr:rowOff>
    </xdr:to>
    <xdr:sp macro="" textlink="">
      <xdr:nvSpPr>
        <xdr:cNvPr id="5" name="ZoneTexte 4">
          <a:extLst>
            <a:ext uri="{FF2B5EF4-FFF2-40B4-BE49-F238E27FC236}">
              <a16:creationId xmlns:a16="http://schemas.microsoft.com/office/drawing/2014/main" id="{00000000-0008-0000-0300-000005000000}"/>
            </a:ext>
          </a:extLst>
        </xdr:cNvPr>
        <xdr:cNvSpPr txBox="1"/>
      </xdr:nvSpPr>
      <xdr:spPr>
        <a:xfrm>
          <a:off x="114300" y="5648325"/>
          <a:ext cx="7960995" cy="7677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i="1" u="sng">
              <a:solidFill>
                <a:srgbClr val="FF0000"/>
              </a:solidFill>
            </a:rPr>
            <a:t>Commentaires éventuels sur les prix de vente définitifs fixés</a:t>
          </a:r>
          <a:r>
            <a:rPr lang="fr-FR" sz="1100" b="1" i="1" u="sng" baseline="0">
              <a:solidFill>
                <a:srgbClr val="FF0000"/>
              </a:solidFill>
            </a:rPr>
            <a:t> </a:t>
          </a:r>
          <a:r>
            <a:rPr lang="fr-FR" sz="1100" b="0" i="0" u="none" baseline="0">
              <a:solidFill>
                <a:sysClr val="windowText" lastClr="000000"/>
              </a:solidFill>
            </a:rPr>
            <a:t>:</a:t>
          </a:r>
          <a:endParaRPr lang="fr-FR" sz="1100" b="0">
            <a:solidFill>
              <a:sysClr val="windowText" lastClr="000000"/>
            </a:solidFill>
          </a:endParaRPr>
        </a:p>
      </xdr:txBody>
    </xdr:sp>
    <xdr:clientData/>
  </xdr:twoCellAnchor>
  <xdr:twoCellAnchor>
    <xdr:from>
      <xdr:col>0</xdr:col>
      <xdr:colOff>135255</xdr:colOff>
      <xdr:row>25</xdr:row>
      <xdr:rowOff>104775</xdr:rowOff>
    </xdr:from>
    <xdr:to>
      <xdr:col>5</xdr:col>
      <xdr:colOff>514350</xdr:colOff>
      <xdr:row>31</xdr:row>
      <xdr:rowOff>0</xdr:rowOff>
    </xdr:to>
    <xdr:sp macro="" textlink="">
      <xdr:nvSpPr>
        <xdr:cNvPr id="7" name="ZoneTexte 6">
          <a:extLst>
            <a:ext uri="{FF2B5EF4-FFF2-40B4-BE49-F238E27FC236}">
              <a16:creationId xmlns:a16="http://schemas.microsoft.com/office/drawing/2014/main" id="{00000000-0008-0000-0300-000007000000}"/>
            </a:ext>
          </a:extLst>
        </xdr:cNvPr>
        <xdr:cNvSpPr txBox="1"/>
      </xdr:nvSpPr>
      <xdr:spPr>
        <a:xfrm>
          <a:off x="135255" y="6505575"/>
          <a:ext cx="7913370" cy="106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i="1" u="sng">
              <a:solidFill>
                <a:srgbClr val="FF0000"/>
              </a:solidFill>
            </a:rPr>
            <a:t>Commentaires éventuels sur durée d'amortissement et</a:t>
          </a:r>
          <a:r>
            <a:rPr lang="fr-FR" sz="1100" b="1" i="1" u="sng" baseline="0">
              <a:solidFill>
                <a:srgbClr val="FF0000"/>
              </a:solidFill>
            </a:rPr>
            <a:t> sur nombre de sessions par an </a:t>
          </a:r>
          <a:r>
            <a:rPr lang="fr-FR" sz="1100" b="1" i="1" u="sng">
              <a:solidFill>
                <a:srgbClr val="FF0000"/>
              </a:solidFill>
            </a:rPr>
            <a:t>retenus (notamment si durée d'amo différent valeur par défaut)</a:t>
          </a:r>
          <a:r>
            <a:rPr lang="fr-FR" sz="1100" b="0" baseline="0">
              <a:solidFill>
                <a:sysClr val="windowText" lastClr="000000"/>
              </a:solidFill>
            </a:rPr>
            <a:t>: </a:t>
          </a:r>
          <a:r>
            <a:rPr lang="fr-FR" sz="1100" b="0" baseline="0">
              <a:solidFill>
                <a:schemeClr val="dk1"/>
              </a:solidFill>
              <a:effectLst/>
              <a:latin typeface="+mn-lt"/>
              <a:ea typeface="+mn-ea"/>
              <a:cs typeface="+mn-cs"/>
            </a:rPr>
            <a:t>La session est amortie depuis longtemps (créée en 1999)</a:t>
          </a:r>
          <a:endParaRPr lang="fr-FR" sz="1100" b="0">
            <a:solidFill>
              <a:sysClr val="windowText" lastClr="000000"/>
            </a:solidFill>
          </a:endParaRPr>
        </a:p>
      </xdr:txBody>
    </xdr:sp>
    <xdr:clientData/>
  </xdr:twoCellAnchor>
  <xdr:twoCellAnchor editAs="oneCell">
    <xdr:from>
      <xdr:col>0</xdr:col>
      <xdr:colOff>238125</xdr:colOff>
      <xdr:row>3</xdr:row>
      <xdr:rowOff>0</xdr:rowOff>
    </xdr:from>
    <xdr:to>
      <xdr:col>0</xdr:col>
      <xdr:colOff>1015001</xdr:colOff>
      <xdr:row>5</xdr:row>
      <xdr:rowOff>182880</xdr:rowOff>
    </xdr:to>
    <xdr:pic>
      <xdr:nvPicPr>
        <xdr:cNvPr id="8" name="Imag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2"/>
        <a:stretch>
          <a:fillRect/>
        </a:stretch>
      </xdr:blipFill>
      <xdr:spPr>
        <a:xfrm>
          <a:off x="238125" y="590550"/>
          <a:ext cx="776876" cy="1133475"/>
        </a:xfrm>
        <a:prstGeom prst="rect">
          <a:avLst/>
        </a:prstGeom>
      </xdr:spPr>
    </xdr:pic>
    <xdr:clientData/>
  </xdr:twoCellAnchor>
  <xdr:twoCellAnchor editAs="oneCell">
    <xdr:from>
      <xdr:col>12</xdr:col>
      <xdr:colOff>971551</xdr:colOff>
      <xdr:row>0</xdr:row>
      <xdr:rowOff>38101</xdr:rowOff>
    </xdr:from>
    <xdr:to>
      <xdr:col>13</xdr:col>
      <xdr:colOff>638175</xdr:colOff>
      <xdr:row>3</xdr:row>
      <xdr:rowOff>152400</xdr:rowOff>
    </xdr:to>
    <xdr:pic>
      <xdr:nvPicPr>
        <xdr:cNvPr id="4" name="Imag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4982826" y="38101"/>
          <a:ext cx="895349" cy="8953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2217420</xdr:colOff>
      <xdr:row>13</xdr:row>
      <xdr:rowOff>68580</xdr:rowOff>
    </xdr:from>
    <xdr:to>
      <xdr:col>3</xdr:col>
      <xdr:colOff>632460</xdr:colOff>
      <xdr:row>24</xdr:row>
      <xdr:rowOff>30480</xdr:rowOff>
    </xdr:to>
    <xdr:sp macro="" textlink="">
      <xdr:nvSpPr>
        <xdr:cNvPr id="3" name="Ellipse 2">
          <a:extLst>
            <a:ext uri="{FF2B5EF4-FFF2-40B4-BE49-F238E27FC236}">
              <a16:creationId xmlns:a16="http://schemas.microsoft.com/office/drawing/2014/main" id="{00000000-0008-0000-0600-000003000000}"/>
            </a:ext>
          </a:extLst>
        </xdr:cNvPr>
        <xdr:cNvSpPr/>
      </xdr:nvSpPr>
      <xdr:spPr>
        <a:xfrm>
          <a:off x="2217420" y="2611755"/>
          <a:ext cx="5282565" cy="224790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xdr:col>
      <xdr:colOff>91440</xdr:colOff>
      <xdr:row>9</xdr:row>
      <xdr:rowOff>53340</xdr:rowOff>
    </xdr:from>
    <xdr:to>
      <xdr:col>8</xdr:col>
      <xdr:colOff>754380</xdr:colOff>
      <xdr:row>11</xdr:row>
      <xdr:rowOff>142875</xdr:rowOff>
    </xdr:to>
    <xdr:sp macro="" textlink="">
      <xdr:nvSpPr>
        <xdr:cNvPr id="2" name="ZoneTexte 1">
          <a:extLst>
            <a:ext uri="{FF2B5EF4-FFF2-40B4-BE49-F238E27FC236}">
              <a16:creationId xmlns:a16="http://schemas.microsoft.com/office/drawing/2014/main" id="{00000000-0008-0000-0600-000002000000}"/>
            </a:ext>
          </a:extLst>
        </xdr:cNvPr>
        <xdr:cNvSpPr txBox="1"/>
      </xdr:nvSpPr>
      <xdr:spPr>
        <a:xfrm>
          <a:off x="6758940" y="1815465"/>
          <a:ext cx="2186940" cy="48006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baseline="0">
              <a:solidFill>
                <a:srgbClr val="FF0000"/>
              </a:solidFill>
            </a:rPr>
            <a:t>Coût journalier à utiliser par défaut </a:t>
          </a:r>
          <a:endParaRPr lang="fr-FR" sz="1100" b="1">
            <a:solidFill>
              <a:srgbClr val="FF0000"/>
            </a:solidFill>
          </a:endParaRPr>
        </a:p>
      </xdr:txBody>
    </xdr:sp>
    <xdr:clientData/>
  </xdr:twoCellAnchor>
  <xdr:twoCellAnchor>
    <xdr:from>
      <xdr:col>3</xdr:col>
      <xdr:colOff>114301</xdr:colOff>
      <xdr:row>10</xdr:row>
      <xdr:rowOff>93345</xdr:rowOff>
    </xdr:from>
    <xdr:to>
      <xdr:col>6</xdr:col>
      <xdr:colOff>91440</xdr:colOff>
      <xdr:row>15</xdr:row>
      <xdr:rowOff>160020</xdr:rowOff>
    </xdr:to>
    <xdr:cxnSp macro="">
      <xdr:nvCxnSpPr>
        <xdr:cNvPr id="5" name="Connecteur droit avec flèche 4">
          <a:extLst>
            <a:ext uri="{FF2B5EF4-FFF2-40B4-BE49-F238E27FC236}">
              <a16:creationId xmlns:a16="http://schemas.microsoft.com/office/drawing/2014/main" id="{00000000-0008-0000-0600-000005000000}"/>
            </a:ext>
          </a:extLst>
        </xdr:cNvPr>
        <xdr:cNvCxnSpPr>
          <a:stCxn id="2" idx="1"/>
        </xdr:cNvCxnSpPr>
      </xdr:nvCxnSpPr>
      <xdr:spPr>
        <a:xfrm flipH="1">
          <a:off x="4314826" y="2055495"/>
          <a:ext cx="2444114" cy="103822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62864</xdr:colOff>
      <xdr:row>31</xdr:row>
      <xdr:rowOff>22861</xdr:rowOff>
    </xdr:from>
    <xdr:to>
      <xdr:col>9</xdr:col>
      <xdr:colOff>53339</xdr:colOff>
      <xdr:row>33</xdr:row>
      <xdr:rowOff>91441</xdr:rowOff>
    </xdr:to>
    <xdr:sp macro="" textlink="">
      <xdr:nvSpPr>
        <xdr:cNvPr id="2" name="ZoneTexte 1">
          <a:extLst>
            <a:ext uri="{FF2B5EF4-FFF2-40B4-BE49-F238E27FC236}">
              <a16:creationId xmlns:a16="http://schemas.microsoft.com/office/drawing/2014/main" id="{00000000-0008-0000-0800-000002000000}"/>
            </a:ext>
          </a:extLst>
        </xdr:cNvPr>
        <xdr:cNvSpPr txBox="1"/>
      </xdr:nvSpPr>
      <xdr:spPr>
        <a:xfrm>
          <a:off x="62864" y="6156961"/>
          <a:ext cx="9035415"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1" u="sng"/>
            <a:t>Transport</a:t>
          </a:r>
          <a:r>
            <a:rPr lang="fr-FR" sz="1100" b="0" i="1" u="sng" baseline="0"/>
            <a:t> des apprenants en car </a:t>
          </a:r>
          <a:r>
            <a:rPr lang="fr-FR" sz="1100" b="0" u="none" baseline="0"/>
            <a:t>: pour le site de PSAC, le contrat-cadre de l'INSTN avec la SAVAC est terminé depuis janvier 2021. Demander des devis au coup par coup en attendant la mise en place éventuelle d'un nouveau marché.</a:t>
          </a:r>
          <a:endParaRPr lang="fr-FR" sz="1100" b="0" u="none"/>
        </a:p>
      </xdr:txBody>
    </xdr:sp>
    <xdr:clientData/>
  </xdr:twoCellAnchor>
  <xdr:twoCellAnchor>
    <xdr:from>
      <xdr:col>1</xdr:col>
      <xdr:colOff>582930</xdr:colOff>
      <xdr:row>0</xdr:row>
      <xdr:rowOff>133350</xdr:rowOff>
    </xdr:from>
    <xdr:to>
      <xdr:col>8</xdr:col>
      <xdr:colOff>716280</xdr:colOff>
      <xdr:row>13</xdr:row>
      <xdr:rowOff>99060</xdr:rowOff>
    </xdr:to>
    <xdr:sp macro="" textlink="">
      <xdr:nvSpPr>
        <xdr:cNvPr id="3" name="Explosion 1 2">
          <a:extLst>
            <a:ext uri="{FF2B5EF4-FFF2-40B4-BE49-F238E27FC236}">
              <a16:creationId xmlns:a16="http://schemas.microsoft.com/office/drawing/2014/main" id="{00000000-0008-0000-0800-000003000000}"/>
            </a:ext>
          </a:extLst>
        </xdr:cNvPr>
        <xdr:cNvSpPr/>
      </xdr:nvSpPr>
      <xdr:spPr>
        <a:xfrm>
          <a:off x="2183130" y="133350"/>
          <a:ext cx="6473190" cy="2388870"/>
        </a:xfrm>
        <a:prstGeom prst="irregularSeal1">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200" b="1" u="sng">
              <a:solidFill>
                <a:srgbClr val="FF0000"/>
              </a:solidFill>
            </a:rPr>
            <a:t>ATTENTION</a:t>
          </a:r>
          <a:endParaRPr lang="fr-FR" sz="1200" b="1" u="sng" baseline="0">
            <a:solidFill>
              <a:srgbClr val="FF0000"/>
            </a:solidFill>
          </a:endParaRPr>
        </a:p>
        <a:p>
          <a:pPr algn="ctr"/>
          <a:r>
            <a:rPr lang="fr-FR" sz="1200" b="1" baseline="0">
              <a:solidFill>
                <a:srgbClr val="FF0000"/>
              </a:solidFill>
            </a:rPr>
            <a:t>Les montants ne remontent pas dans la fiche de coûts car ils peuvent concerner plusieurs lignes de la fiche (simple aide à la saisie) </a:t>
          </a:r>
          <a:endParaRPr lang="fr-FR" sz="1200" b="1">
            <a:solidFill>
              <a:srgbClr val="FF0000"/>
            </a:solidFill>
          </a:endParaRPr>
        </a:p>
      </xdr:txBody>
    </xdr:sp>
    <xdr:clientData/>
  </xdr:twoCellAnchor>
  <xdr:twoCellAnchor>
    <xdr:from>
      <xdr:col>10</xdr:col>
      <xdr:colOff>80444</xdr:colOff>
      <xdr:row>15</xdr:row>
      <xdr:rowOff>566690</xdr:rowOff>
    </xdr:from>
    <xdr:to>
      <xdr:col>10</xdr:col>
      <xdr:colOff>142482</xdr:colOff>
      <xdr:row>44</xdr:row>
      <xdr:rowOff>131250</xdr:rowOff>
    </xdr:to>
    <xdr:sp macro="" textlink="">
      <xdr:nvSpPr>
        <xdr:cNvPr id="4" name="Flèche vers le bas 3">
          <a:extLst>
            <a:ext uri="{FF2B5EF4-FFF2-40B4-BE49-F238E27FC236}">
              <a16:creationId xmlns:a16="http://schemas.microsoft.com/office/drawing/2014/main" id="{00000000-0008-0000-0800-000004000000}"/>
            </a:ext>
          </a:extLst>
        </xdr:cNvPr>
        <xdr:cNvSpPr/>
      </xdr:nvSpPr>
      <xdr:spPr>
        <a:xfrm rot="2027786" flipH="1">
          <a:off x="9595919" y="3481340"/>
          <a:ext cx="62038" cy="6041560"/>
        </a:xfrm>
        <a:prstGeom prst="downArrow">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che%20de%20co&#251;ts%20INSTN%20-%20TEL%20-%202025.01.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stion des versions"/>
      <sheetName val="Mode d'emploi"/>
      <sheetName val="Table FD&amp;FC"/>
      <sheetName val="Fiche de coûts"/>
      <sheetName val="LMS"/>
      <sheetName val="Conception numérique"/>
      <sheetName val="Coûts installations"/>
      <sheetName val="Coûts frais variables"/>
      <sheetName val="Coûts frais déplacement"/>
    </sheetNames>
    <sheetDataSet>
      <sheetData sheetId="0"/>
      <sheetData sheetId="1"/>
      <sheetData sheetId="2"/>
      <sheetData sheetId="3">
        <row r="8">
          <cell r="L8">
            <v>7871</v>
          </cell>
        </row>
        <row r="17">
          <cell r="C17">
            <v>6</v>
          </cell>
        </row>
      </sheetData>
      <sheetData sheetId="4"/>
      <sheetData sheetId="5"/>
      <sheetData sheetId="6"/>
      <sheetData sheetId="7"/>
      <sheetData sheetId="8"/>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instnm.intra.cea.fr/gespri/" TargetMode="External"/><Relationship Id="rId1" Type="http://schemas.openxmlformats.org/officeDocument/2006/relationships/hyperlink" Target="https://ged-instn.intra.cea.fr/_layouts/15/WopiFrame.aspx?sourcedoc=/P10/Politique%20tarifaire/Fiche%20de%20co%C3%BBts%20INSTN.xlsx&amp;action=defaul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ed-instn.intra.cea.fr/_layouts/15/WopiFrame.aspx?sourcedoc=/P10/Guides/Guide%20de%20nomenclature%20budg%C3%A9taire%20INSTN.pdf&amp;action=default"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d-instn.intra.cea.fr/_layouts/15/WopiFrame.aspx?sourcedoc=/P10/Politique%20tarifaire/Tarifs%20location%20espaces%20et%20service%20INSTN/Tarifs%20Ext%C3%A9rieur%20%E2%80%93%20Devis%20-%20Location%20espaces%20et%20services%20INSTN%20Saclay.xlsx&amp;ac" TargetMode="External"/><Relationship Id="rId1" Type="http://schemas.openxmlformats.org/officeDocument/2006/relationships/hyperlink" Target="https://ged-instn.intra.cea.fr/_layouts/15/WopiFrame.aspx?sourcedoc=/P10/Politique%20tarifaire/Tarifs%20location%20espaces%20et%20service%20INSTN/Tarifs%20CEA%20%E2%80%93%20Devis%20-%20Location%20espaces%20et%20services%20INSTN%20Saclay.xlsx&amp;action=defaul" TargetMode="External"/><Relationship Id="rId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hyperlink" Target="https://ged-instn.intra.cea.fr/_layouts/15/WopiFrame.aspx?sourcedoc=/P10/Guides/Note%20DSTG%202020-078%20frais%20de%20d%C3%A9placements%20EXT.pdf&amp;action=defa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showGridLines="0" workbookViewId="0">
      <selection activeCell="D11" sqref="D11"/>
    </sheetView>
  </sheetViews>
  <sheetFormatPr baseColWidth="10" defaultRowHeight="15" x14ac:dyDescent="0.25"/>
  <cols>
    <col min="4" max="4" width="62.7109375" style="151" customWidth="1"/>
  </cols>
  <sheetData>
    <row r="1" spans="1:4" x14ac:dyDescent="0.25">
      <c r="A1" s="24" t="s">
        <v>590</v>
      </c>
      <c r="B1" s="24" t="s">
        <v>591</v>
      </c>
      <c r="C1" s="24" t="s">
        <v>592</v>
      </c>
      <c r="D1" s="489" t="s">
        <v>593</v>
      </c>
    </row>
    <row r="2" spans="1:4" ht="42" customHeight="1" x14ac:dyDescent="0.25">
      <c r="A2" s="499">
        <v>2021</v>
      </c>
      <c r="B2" s="500">
        <v>44312</v>
      </c>
      <c r="C2" s="499" t="s">
        <v>594</v>
      </c>
      <c r="D2" s="498" t="s">
        <v>596</v>
      </c>
    </row>
    <row r="3" spans="1:4" ht="75" x14ac:dyDescent="0.25">
      <c r="A3" s="499">
        <v>2021</v>
      </c>
      <c r="B3" s="501">
        <v>44316</v>
      </c>
      <c r="C3" s="499" t="s">
        <v>595</v>
      </c>
      <c r="D3" s="498" t="s">
        <v>597</v>
      </c>
    </row>
    <row r="4" spans="1:4" ht="30" x14ac:dyDescent="0.25">
      <c r="A4" s="499">
        <v>2021</v>
      </c>
      <c r="B4" s="501">
        <v>44322</v>
      </c>
      <c r="C4" s="499" t="s">
        <v>598</v>
      </c>
      <c r="D4" s="498" t="s">
        <v>599</v>
      </c>
    </row>
    <row r="5" spans="1:4" ht="30" x14ac:dyDescent="0.25">
      <c r="A5" s="499">
        <v>2021</v>
      </c>
      <c r="B5" s="501">
        <v>44333</v>
      </c>
      <c r="C5" s="499" t="s">
        <v>603</v>
      </c>
      <c r="D5" s="498" t="s">
        <v>604</v>
      </c>
    </row>
    <row r="6" spans="1:4" ht="45" x14ac:dyDescent="0.25">
      <c r="A6" s="499">
        <v>2021</v>
      </c>
      <c r="B6" s="501">
        <v>44342</v>
      </c>
      <c r="C6" s="499" t="s">
        <v>606</v>
      </c>
      <c r="D6" s="498" t="s">
        <v>607</v>
      </c>
    </row>
    <row r="7" spans="1:4" ht="45" x14ac:dyDescent="0.25">
      <c r="A7" s="499">
        <v>2021</v>
      </c>
      <c r="B7" s="501">
        <v>44361</v>
      </c>
      <c r="C7" s="499" t="s">
        <v>608</v>
      </c>
      <c r="D7" s="498" t="s">
        <v>615</v>
      </c>
    </row>
    <row r="8" spans="1:4" ht="45" x14ac:dyDescent="0.25">
      <c r="A8" s="499">
        <v>2021</v>
      </c>
      <c r="B8" s="501">
        <v>44543</v>
      </c>
      <c r="C8" s="499" t="s">
        <v>621</v>
      </c>
      <c r="D8" s="498" t="s">
        <v>622</v>
      </c>
    </row>
    <row r="9" spans="1:4" ht="30" x14ac:dyDescent="0.25">
      <c r="A9" s="529">
        <v>2022</v>
      </c>
      <c r="B9" s="501">
        <v>44690</v>
      </c>
      <c r="C9" s="499" t="s">
        <v>625</v>
      </c>
      <c r="D9" s="498" t="s">
        <v>626</v>
      </c>
    </row>
    <row r="10" spans="1:4" ht="90" x14ac:dyDescent="0.25">
      <c r="A10" s="529">
        <v>2023</v>
      </c>
      <c r="B10" s="556">
        <v>45126</v>
      </c>
      <c r="C10" s="529" t="s">
        <v>634</v>
      </c>
      <c r="D10" s="557" t="s">
        <v>638</v>
      </c>
    </row>
    <row r="11" spans="1:4" ht="75" x14ac:dyDescent="0.25">
      <c r="A11" s="529">
        <v>2024</v>
      </c>
      <c r="B11" s="556">
        <v>45504</v>
      </c>
      <c r="C11" s="529" t="s">
        <v>639</v>
      </c>
      <c r="D11" s="557" t="s">
        <v>699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32"/>
  <sheetViews>
    <sheetView showGridLines="0" workbookViewId="0">
      <selection activeCell="A13" sqref="A13"/>
    </sheetView>
  </sheetViews>
  <sheetFormatPr baseColWidth="10" defaultRowHeight="15" x14ac:dyDescent="0.25"/>
  <cols>
    <col min="1" max="1" width="134.85546875" bestFit="1" customWidth="1"/>
  </cols>
  <sheetData>
    <row r="1" spans="1:1" ht="21.75" thickBot="1" x14ac:dyDescent="0.4">
      <c r="A1" s="140" t="s">
        <v>353</v>
      </c>
    </row>
    <row r="4" spans="1:1" ht="15.75" thickBot="1" x14ac:dyDescent="0.3"/>
    <row r="5" spans="1:1" ht="15.75" x14ac:dyDescent="0.25">
      <c r="A5" s="139" t="s">
        <v>245</v>
      </c>
    </row>
    <row r="6" spans="1:1" x14ac:dyDescent="0.25">
      <c r="A6" s="218" t="s">
        <v>483</v>
      </c>
    </row>
    <row r="7" spans="1:1" x14ac:dyDescent="0.25">
      <c r="A7" s="217" t="s">
        <v>484</v>
      </c>
    </row>
    <row r="8" spans="1:1" x14ac:dyDescent="0.25">
      <c r="A8" s="219" t="s">
        <v>485</v>
      </c>
    </row>
    <row r="9" spans="1:1" ht="15.75" thickBot="1" x14ac:dyDescent="0.3">
      <c r="A9" s="141" t="s">
        <v>496</v>
      </c>
    </row>
    <row r="10" spans="1:1" ht="15.75" thickBot="1" x14ac:dyDescent="0.3"/>
    <row r="11" spans="1:1" ht="15.75" x14ac:dyDescent="0.25">
      <c r="A11" s="139" t="s">
        <v>244</v>
      </c>
    </row>
    <row r="12" spans="1:1" x14ac:dyDescent="0.25">
      <c r="A12" s="144" t="s">
        <v>246</v>
      </c>
    </row>
    <row r="13" spans="1:1" x14ac:dyDescent="0.25">
      <c r="A13" s="145" t="s">
        <v>486</v>
      </c>
    </row>
    <row r="14" spans="1:1" ht="15.75" thickBot="1" x14ac:dyDescent="0.3">
      <c r="A14" s="146" t="s">
        <v>247</v>
      </c>
    </row>
    <row r="15" spans="1:1" ht="15.75" thickBot="1" x14ac:dyDescent="0.3"/>
    <row r="16" spans="1:1" ht="15.75" x14ac:dyDescent="0.25">
      <c r="A16" s="139" t="s">
        <v>248</v>
      </c>
    </row>
    <row r="17" spans="1:1" x14ac:dyDescent="0.25">
      <c r="A17" s="144" t="s">
        <v>253</v>
      </c>
    </row>
    <row r="18" spans="1:1" x14ac:dyDescent="0.25">
      <c r="A18" s="144" t="s">
        <v>249</v>
      </c>
    </row>
    <row r="19" spans="1:1" x14ac:dyDescent="0.25">
      <c r="A19" s="144" t="s">
        <v>250</v>
      </c>
    </row>
    <row r="20" spans="1:1" x14ac:dyDescent="0.25">
      <c r="A20" s="144" t="s">
        <v>251</v>
      </c>
    </row>
    <row r="21" spans="1:1" x14ac:dyDescent="0.25">
      <c r="A21" s="144" t="s">
        <v>354</v>
      </c>
    </row>
    <row r="22" spans="1:1" ht="15.75" thickBot="1" x14ac:dyDescent="0.3">
      <c r="A22" s="147" t="s">
        <v>252</v>
      </c>
    </row>
    <row r="23" spans="1:1" ht="15.75" thickBot="1" x14ac:dyDescent="0.3"/>
    <row r="24" spans="1:1" ht="15.75" x14ac:dyDescent="0.25">
      <c r="A24" s="139" t="s">
        <v>254</v>
      </c>
    </row>
    <row r="25" spans="1:1" ht="15.75" x14ac:dyDescent="0.25">
      <c r="A25" s="220" t="s">
        <v>487</v>
      </c>
    </row>
    <row r="26" spans="1:1" x14ac:dyDescent="0.25">
      <c r="A26" s="144" t="s">
        <v>261</v>
      </c>
    </row>
    <row r="27" spans="1:1" x14ac:dyDescent="0.25">
      <c r="A27" s="144" t="s">
        <v>262</v>
      </c>
    </row>
    <row r="28" spans="1:1" x14ac:dyDescent="0.25">
      <c r="A28" s="144" t="s">
        <v>574</v>
      </c>
    </row>
    <row r="29" spans="1:1" ht="15.75" thickBot="1" x14ac:dyDescent="0.3">
      <c r="A29" s="144" t="s">
        <v>263</v>
      </c>
    </row>
    <row r="30" spans="1:1" x14ac:dyDescent="0.25">
      <c r="A30" s="269" t="s">
        <v>505</v>
      </c>
    </row>
    <row r="31" spans="1:1" x14ac:dyDescent="0.25">
      <c r="A31" s="267" t="s">
        <v>503</v>
      </c>
    </row>
    <row r="32" spans="1:1" ht="15.75" thickBot="1" x14ac:dyDescent="0.3">
      <c r="A32" s="268" t="s">
        <v>504</v>
      </c>
    </row>
  </sheetData>
  <sheetProtection sheet="1" objects="1" scenarios="1"/>
  <hyperlinks>
    <hyperlink ref="A31" r:id="rId1" xr:uid="{00000000-0004-0000-0100-000000000000}"/>
    <hyperlink ref="A32" r:id="rId2" xr:uid="{00000000-0004-0000-0100-000001000000}"/>
  </hyperlinks>
  <pageMargins left="0.7" right="0.7" top="0.75" bottom="0.75" header="0.3" footer="0.3"/>
  <pageSetup paperSize="9" scale="97" orientation="landscap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98"/>
  <sheetViews>
    <sheetView showGridLines="0" zoomScaleNormal="100" workbookViewId="0">
      <selection activeCell="A3" sqref="A3"/>
    </sheetView>
  </sheetViews>
  <sheetFormatPr baseColWidth="10" defaultRowHeight="15" x14ac:dyDescent="0.25"/>
  <cols>
    <col min="1" max="1" width="32" style="179" customWidth="1"/>
    <col min="2" max="2" width="28.5703125" style="178" customWidth="1"/>
    <col min="3" max="3" width="57.28515625" customWidth="1"/>
    <col min="4" max="4" width="18.85546875" style="181" bestFit="1" customWidth="1"/>
    <col min="5" max="12" width="11.42578125" style="176"/>
    <col min="17" max="17" width="15.5703125" bestFit="1" customWidth="1"/>
    <col min="21" max="21" width="31.28515625" bestFit="1" customWidth="1"/>
  </cols>
  <sheetData>
    <row r="1" spans="1:23" x14ac:dyDescent="0.25">
      <c r="A1" s="660" t="s">
        <v>502</v>
      </c>
      <c r="B1" s="660"/>
    </row>
    <row r="2" spans="1:23" ht="15.75" thickBot="1" x14ac:dyDescent="0.3"/>
    <row r="3" spans="1:23" ht="15.75" customHeight="1" thickBot="1" x14ac:dyDescent="0.3">
      <c r="A3" s="212" t="s">
        <v>167</v>
      </c>
      <c r="B3" s="211" t="s">
        <v>424</v>
      </c>
      <c r="C3" s="182" t="s">
        <v>548</v>
      </c>
      <c r="D3" s="286" t="s">
        <v>168</v>
      </c>
      <c r="E3" s="287" t="s">
        <v>465</v>
      </c>
      <c r="F3" s="216"/>
      <c r="G3" s="216"/>
      <c r="H3" s="216"/>
      <c r="I3" s="216"/>
      <c r="J3" s="216"/>
      <c r="K3" s="216"/>
      <c r="L3" s="216"/>
      <c r="M3" s="216"/>
      <c r="N3" s="216"/>
      <c r="O3" s="216"/>
      <c r="P3" s="216"/>
      <c r="Q3" s="216"/>
      <c r="R3" s="216"/>
      <c r="S3" s="216"/>
      <c r="U3" s="214" t="s">
        <v>689</v>
      </c>
    </row>
    <row r="4" spans="1:23" ht="15" customHeight="1" x14ac:dyDescent="0.25">
      <c r="A4" s="664" t="s">
        <v>425</v>
      </c>
      <c r="B4" s="661" t="s">
        <v>426</v>
      </c>
      <c r="C4" s="206" t="s">
        <v>210</v>
      </c>
      <c r="D4" s="288" t="s">
        <v>327</v>
      </c>
      <c r="E4" s="289" t="s">
        <v>242</v>
      </c>
      <c r="F4" s="359"/>
      <c r="G4" s="359"/>
      <c r="H4" s="359"/>
      <c r="I4" s="359"/>
      <c r="J4" s="359"/>
      <c r="K4" s="359"/>
      <c r="L4" s="359"/>
      <c r="Q4" t="str">
        <f>D4</f>
        <v>LOCFORMDDEXX</v>
      </c>
      <c r="R4" t="s">
        <v>538</v>
      </c>
      <c r="S4" t="s">
        <v>466</v>
      </c>
      <c r="U4" s="180" t="s">
        <v>328</v>
      </c>
      <c r="V4" s="180" t="s">
        <v>542</v>
      </c>
      <c r="W4" s="180" t="s">
        <v>478</v>
      </c>
    </row>
    <row r="5" spans="1:23" ht="15" customHeight="1" x14ac:dyDescent="0.25">
      <c r="A5" s="664"/>
      <c r="B5" s="662"/>
      <c r="C5" s="190" t="s">
        <v>211</v>
      </c>
      <c r="D5" s="290" t="s">
        <v>344</v>
      </c>
      <c r="E5" s="291" t="s">
        <v>242</v>
      </c>
      <c r="F5" s="359"/>
      <c r="G5" s="359"/>
      <c r="H5" s="359"/>
      <c r="I5" s="359"/>
      <c r="J5" s="359"/>
      <c r="K5" s="359"/>
      <c r="L5" s="359"/>
      <c r="Q5" t="str">
        <f t="shared" ref="Q5:Q68" si="0">D5</f>
        <v>LOCFORMDECEX</v>
      </c>
      <c r="R5" t="s">
        <v>538</v>
      </c>
      <c r="S5" t="s">
        <v>466</v>
      </c>
      <c r="U5" s="180" t="s">
        <v>333</v>
      </c>
      <c r="V5" s="180" t="s">
        <v>541</v>
      </c>
      <c r="W5" s="180" t="s">
        <v>477</v>
      </c>
    </row>
    <row r="6" spans="1:23" ht="15" customHeight="1" x14ac:dyDescent="0.25">
      <c r="A6" s="664"/>
      <c r="B6" s="662"/>
      <c r="C6" s="191" t="s">
        <v>214</v>
      </c>
      <c r="D6" s="292" t="s">
        <v>292</v>
      </c>
      <c r="E6" s="293" t="s">
        <v>171</v>
      </c>
      <c r="F6" s="360"/>
      <c r="G6" s="360"/>
      <c r="H6" s="360"/>
      <c r="I6" s="360"/>
      <c r="J6" s="360"/>
      <c r="K6" s="360"/>
      <c r="L6" s="360"/>
      <c r="Q6" t="str">
        <f t="shared" si="0"/>
        <v>LOCTHTECHECO</v>
      </c>
      <c r="R6" t="s">
        <v>538</v>
      </c>
      <c r="S6" t="s">
        <v>466</v>
      </c>
      <c r="U6" s="180" t="s">
        <v>458</v>
      </c>
      <c r="V6" s="180" t="s">
        <v>538</v>
      </c>
      <c r="W6" s="180" t="s">
        <v>471</v>
      </c>
    </row>
    <row r="7" spans="1:23" ht="15" customHeight="1" thickBot="1" x14ac:dyDescent="0.3">
      <c r="A7" s="664"/>
      <c r="B7" s="663"/>
      <c r="C7" s="199" t="s">
        <v>212</v>
      </c>
      <c r="D7" s="294" t="s">
        <v>290</v>
      </c>
      <c r="E7" s="295" t="s">
        <v>171</v>
      </c>
      <c r="F7" s="360"/>
      <c r="G7" s="360"/>
      <c r="H7" s="360"/>
      <c r="I7" s="360"/>
      <c r="J7" s="360"/>
      <c r="K7" s="360"/>
      <c r="L7" s="360"/>
      <c r="Q7" t="str">
        <f t="shared" si="0"/>
        <v>LOCTHMGTPROJ</v>
      </c>
      <c r="R7" t="s">
        <v>538</v>
      </c>
      <c r="S7" t="s">
        <v>466</v>
      </c>
      <c r="U7" s="180" t="s">
        <v>334</v>
      </c>
      <c r="V7" s="180" t="s">
        <v>541</v>
      </c>
      <c r="W7" s="180" t="s">
        <v>477</v>
      </c>
    </row>
    <row r="8" spans="1:23" ht="15.75" customHeight="1" x14ac:dyDescent="0.25">
      <c r="A8" s="664"/>
      <c r="B8" s="666" t="s">
        <v>427</v>
      </c>
      <c r="C8" s="206" t="s">
        <v>169</v>
      </c>
      <c r="D8" s="288" t="s">
        <v>308</v>
      </c>
      <c r="E8" s="289" t="s">
        <v>242</v>
      </c>
      <c r="F8" s="359"/>
      <c r="G8" s="359"/>
      <c r="H8" s="359"/>
      <c r="I8" s="359"/>
      <c r="J8" s="359"/>
      <c r="K8" s="359"/>
      <c r="L8" s="359"/>
      <c r="Q8" t="str">
        <f t="shared" si="0"/>
        <v>LOCFORMDGAXX</v>
      </c>
      <c r="R8" t="s">
        <v>538</v>
      </c>
      <c r="S8" t="s">
        <v>467</v>
      </c>
      <c r="U8" s="180" t="s">
        <v>336</v>
      </c>
      <c r="V8" s="180" t="s">
        <v>541</v>
      </c>
      <c r="W8" s="180" t="s">
        <v>477</v>
      </c>
    </row>
    <row r="9" spans="1:23" ht="15" customHeight="1" x14ac:dyDescent="0.25">
      <c r="A9" s="664"/>
      <c r="B9" s="667"/>
      <c r="C9" s="190" t="s">
        <v>451</v>
      </c>
      <c r="D9" s="290" t="s">
        <v>319</v>
      </c>
      <c r="E9" s="291" t="s">
        <v>242</v>
      </c>
      <c r="F9" s="359"/>
      <c r="G9" s="359"/>
      <c r="H9" s="359"/>
      <c r="I9" s="359"/>
      <c r="J9" s="359"/>
      <c r="K9" s="359"/>
      <c r="L9" s="359"/>
      <c r="Q9" t="str">
        <f t="shared" si="0"/>
        <v>LOCFORMDINSU</v>
      </c>
      <c r="R9" t="s">
        <v>538</v>
      </c>
      <c r="S9" t="s">
        <v>467</v>
      </c>
      <c r="U9" s="180" t="s">
        <v>329</v>
      </c>
      <c r="V9" s="180" t="s">
        <v>542</v>
      </c>
      <c r="W9" s="180" t="s">
        <v>478</v>
      </c>
    </row>
    <row r="10" spans="1:23" x14ac:dyDescent="0.25">
      <c r="A10" s="664"/>
      <c r="B10" s="667"/>
      <c r="C10" s="191" t="s">
        <v>170</v>
      </c>
      <c r="D10" s="292" t="s">
        <v>264</v>
      </c>
      <c r="E10" s="293" t="s">
        <v>171</v>
      </c>
      <c r="F10" s="360"/>
      <c r="G10" s="360"/>
      <c r="H10" s="360"/>
      <c r="I10" s="360"/>
      <c r="J10" s="360"/>
      <c r="K10" s="360"/>
      <c r="L10" s="360"/>
      <c r="Q10" t="str">
        <f t="shared" si="0"/>
        <v>LOCTHREACNUC</v>
      </c>
      <c r="R10" t="s">
        <v>538</v>
      </c>
      <c r="S10" t="s">
        <v>467</v>
      </c>
      <c r="U10" s="180" t="s">
        <v>310</v>
      </c>
      <c r="V10" s="180" t="s">
        <v>538</v>
      </c>
      <c r="W10" s="180" t="s">
        <v>470</v>
      </c>
    </row>
    <row r="11" spans="1:23" ht="15.75" thickBot="1" x14ac:dyDescent="0.3">
      <c r="A11" s="664"/>
      <c r="B11" s="668"/>
      <c r="C11" s="199" t="s">
        <v>172</v>
      </c>
      <c r="D11" s="294" t="s">
        <v>265</v>
      </c>
      <c r="E11" s="295" t="s">
        <v>171</v>
      </c>
      <c r="F11" s="360"/>
      <c r="G11" s="360"/>
      <c r="H11" s="360"/>
      <c r="I11" s="360"/>
      <c r="J11" s="360"/>
      <c r="K11" s="360"/>
      <c r="L11" s="360"/>
      <c r="Q11" t="str">
        <f t="shared" si="0"/>
        <v>LOCTHREACREP</v>
      </c>
      <c r="R11" t="s">
        <v>538</v>
      </c>
      <c r="S11" t="s">
        <v>467</v>
      </c>
      <c r="U11" s="180" t="s">
        <v>321</v>
      </c>
      <c r="V11" s="180" t="s">
        <v>539</v>
      </c>
      <c r="W11" s="180" t="s">
        <v>474</v>
      </c>
    </row>
    <row r="12" spans="1:23" ht="15" customHeight="1" x14ac:dyDescent="0.25">
      <c r="A12" s="664"/>
      <c r="B12" s="666" t="s">
        <v>428</v>
      </c>
      <c r="C12" s="206" t="s">
        <v>452</v>
      </c>
      <c r="D12" s="288" t="s">
        <v>453</v>
      </c>
      <c r="E12" s="289" t="s">
        <v>242</v>
      </c>
      <c r="F12" s="359"/>
      <c r="G12" s="359"/>
      <c r="H12" s="359"/>
      <c r="I12" s="359"/>
      <c r="J12" s="359"/>
      <c r="K12" s="359"/>
      <c r="L12" s="359"/>
      <c r="Q12" t="str">
        <f t="shared" si="0"/>
        <v>LOCFORMDEPFX</v>
      </c>
      <c r="R12" t="s">
        <v>538</v>
      </c>
      <c r="S12" t="s">
        <v>468</v>
      </c>
      <c r="U12" s="180" t="s">
        <v>327</v>
      </c>
      <c r="V12" s="180" t="s">
        <v>538</v>
      </c>
      <c r="W12" s="180" t="s">
        <v>466</v>
      </c>
    </row>
    <row r="13" spans="1:23" ht="30" customHeight="1" x14ac:dyDescent="0.25">
      <c r="A13" s="664"/>
      <c r="B13" s="667"/>
      <c r="C13" s="190" t="s">
        <v>186</v>
      </c>
      <c r="D13" s="290" t="s">
        <v>315</v>
      </c>
      <c r="E13" s="291" t="s">
        <v>242</v>
      </c>
      <c r="F13" s="359"/>
      <c r="G13" s="359"/>
      <c r="H13" s="359"/>
      <c r="I13" s="359"/>
      <c r="J13" s="359"/>
      <c r="K13" s="359"/>
      <c r="L13" s="359"/>
      <c r="Q13" t="str">
        <f t="shared" si="0"/>
        <v>LOCFORMDTPEX</v>
      </c>
      <c r="R13" t="s">
        <v>538</v>
      </c>
      <c r="S13" t="s">
        <v>468</v>
      </c>
      <c r="U13" s="180" t="s">
        <v>344</v>
      </c>
      <c r="V13" s="180" t="s">
        <v>538</v>
      </c>
      <c r="W13" s="180" t="s">
        <v>466</v>
      </c>
    </row>
    <row r="14" spans="1:23" ht="15.75" thickBot="1" x14ac:dyDescent="0.3">
      <c r="A14" s="664"/>
      <c r="B14" s="668"/>
      <c r="C14" s="199" t="s">
        <v>187</v>
      </c>
      <c r="D14" s="294" t="s">
        <v>275</v>
      </c>
      <c r="E14" s="295" t="s">
        <v>171</v>
      </c>
      <c r="F14" s="360"/>
      <c r="G14" s="360"/>
      <c r="H14" s="360"/>
      <c r="I14" s="360"/>
      <c r="J14" s="360"/>
      <c r="K14" s="360"/>
      <c r="L14" s="360"/>
      <c r="Q14" t="str">
        <f t="shared" si="0"/>
        <v>LOCTHREACEXP</v>
      </c>
      <c r="R14" t="s">
        <v>538</v>
      </c>
      <c r="S14" t="s">
        <v>468</v>
      </c>
      <c r="U14" s="180" t="s">
        <v>330</v>
      </c>
      <c r="V14" s="180" t="s">
        <v>542</v>
      </c>
      <c r="W14" s="180" t="s">
        <v>478</v>
      </c>
    </row>
    <row r="15" spans="1:23" ht="15" customHeight="1" x14ac:dyDescent="0.25">
      <c r="A15" s="664"/>
      <c r="B15" s="666" t="s">
        <v>429</v>
      </c>
      <c r="C15" s="206" t="s">
        <v>190</v>
      </c>
      <c r="D15" s="288" t="s">
        <v>316</v>
      </c>
      <c r="E15" s="289" t="s">
        <v>242</v>
      </c>
      <c r="F15" s="359"/>
      <c r="G15" s="359"/>
      <c r="H15" s="359"/>
      <c r="I15" s="359"/>
      <c r="J15" s="359"/>
      <c r="K15" s="359"/>
      <c r="L15" s="359"/>
      <c r="Q15" t="str">
        <f t="shared" si="0"/>
        <v>LOCFORMDGINX</v>
      </c>
      <c r="R15" t="s">
        <v>538</v>
      </c>
      <c r="S15" t="s">
        <v>469</v>
      </c>
      <c r="U15" s="180" t="s">
        <v>460</v>
      </c>
      <c r="V15" s="180" t="s">
        <v>538</v>
      </c>
      <c r="W15" s="180" t="s">
        <v>471</v>
      </c>
    </row>
    <row r="16" spans="1:23" ht="15" customHeight="1" x14ac:dyDescent="0.25">
      <c r="A16" s="664"/>
      <c r="B16" s="667"/>
      <c r="C16" s="192" t="s">
        <v>454</v>
      </c>
      <c r="D16" s="296" t="s">
        <v>455</v>
      </c>
      <c r="E16" s="297" t="s">
        <v>242</v>
      </c>
      <c r="F16" s="361"/>
      <c r="G16" s="361"/>
      <c r="H16" s="361"/>
      <c r="I16" s="361"/>
      <c r="J16" s="361"/>
      <c r="K16" s="361"/>
      <c r="L16" s="361"/>
      <c r="Q16" t="str">
        <f t="shared" si="0"/>
        <v>LOCFORMDTINX</v>
      </c>
      <c r="R16" t="s">
        <v>538</v>
      </c>
      <c r="S16" t="s">
        <v>469</v>
      </c>
      <c r="U16" s="180" t="s">
        <v>453</v>
      </c>
      <c r="V16" s="180" t="s">
        <v>538</v>
      </c>
      <c r="W16" s="180" t="s">
        <v>468</v>
      </c>
    </row>
    <row r="17" spans="1:23" ht="15" customHeight="1" x14ac:dyDescent="0.25">
      <c r="A17" s="664"/>
      <c r="B17" s="667"/>
      <c r="C17" s="191" t="s">
        <v>191</v>
      </c>
      <c r="D17" s="292" t="s">
        <v>278</v>
      </c>
      <c r="E17" s="293" t="s">
        <v>171</v>
      </c>
      <c r="F17" s="360"/>
      <c r="G17" s="360"/>
      <c r="H17" s="360"/>
      <c r="I17" s="360"/>
      <c r="J17" s="360"/>
      <c r="K17" s="360"/>
      <c r="L17" s="360"/>
      <c r="Q17" t="str">
        <f t="shared" si="0"/>
        <v>LOCTHFORMCOM</v>
      </c>
      <c r="R17" t="s">
        <v>538</v>
      </c>
      <c r="S17" t="s">
        <v>469</v>
      </c>
      <c r="U17" s="180" t="s">
        <v>322</v>
      </c>
      <c r="V17" s="180" t="s">
        <v>539</v>
      </c>
      <c r="W17" s="180" t="s">
        <v>474</v>
      </c>
    </row>
    <row r="18" spans="1:23" ht="15" customHeight="1" x14ac:dyDescent="0.25">
      <c r="A18" s="664"/>
      <c r="B18" s="667"/>
      <c r="C18" s="191" t="s">
        <v>430</v>
      </c>
      <c r="D18" s="292" t="s">
        <v>281</v>
      </c>
      <c r="E18" s="293" t="s">
        <v>171</v>
      </c>
      <c r="F18" s="360"/>
      <c r="G18" s="360"/>
      <c r="H18" s="360"/>
      <c r="I18" s="360"/>
      <c r="J18" s="360"/>
      <c r="K18" s="360"/>
      <c r="L18" s="360"/>
      <c r="Q18" t="str">
        <f t="shared" si="0"/>
        <v>LOCTHPREVRIS</v>
      </c>
      <c r="R18" t="s">
        <v>538</v>
      </c>
      <c r="S18" t="s">
        <v>469</v>
      </c>
      <c r="U18" s="180" t="s">
        <v>308</v>
      </c>
      <c r="V18" s="180" t="s">
        <v>538</v>
      </c>
      <c r="W18" s="180" t="s">
        <v>467</v>
      </c>
    </row>
    <row r="19" spans="1:23" x14ac:dyDescent="0.25">
      <c r="A19" s="664"/>
      <c r="B19" s="667"/>
      <c r="C19" s="191" t="s">
        <v>189</v>
      </c>
      <c r="D19" s="292" t="s">
        <v>277</v>
      </c>
      <c r="E19" s="293" t="s">
        <v>171</v>
      </c>
      <c r="F19" s="360"/>
      <c r="G19" s="360"/>
      <c r="H19" s="360"/>
      <c r="I19" s="360"/>
      <c r="J19" s="360"/>
      <c r="K19" s="360"/>
      <c r="L19" s="360"/>
      <c r="Q19" t="str">
        <f t="shared" si="0"/>
        <v>LOCTHEXPMAIN</v>
      </c>
      <c r="R19" t="s">
        <v>538</v>
      </c>
      <c r="S19" t="s">
        <v>469</v>
      </c>
      <c r="U19" s="180" t="s">
        <v>316</v>
      </c>
      <c r="V19" s="180" t="s">
        <v>538</v>
      </c>
      <c r="W19" s="180" t="s">
        <v>469</v>
      </c>
    </row>
    <row r="20" spans="1:23" ht="30.75" customHeight="1" thickBot="1" x14ac:dyDescent="0.3">
      <c r="A20" s="664"/>
      <c r="B20" s="668"/>
      <c r="C20" s="199" t="s">
        <v>192</v>
      </c>
      <c r="D20" s="294" t="s">
        <v>279</v>
      </c>
      <c r="E20" s="295" t="s">
        <v>171</v>
      </c>
      <c r="F20" s="360"/>
      <c r="G20" s="360"/>
      <c r="H20" s="360"/>
      <c r="I20" s="360"/>
      <c r="J20" s="360"/>
      <c r="K20" s="360"/>
      <c r="L20" s="360"/>
      <c r="Q20" t="str">
        <f t="shared" si="0"/>
        <v>LOCTHGESTIMN</v>
      </c>
      <c r="R20" t="s">
        <v>538</v>
      </c>
      <c r="S20" t="s">
        <v>469</v>
      </c>
      <c r="U20" s="180" t="s">
        <v>309</v>
      </c>
      <c r="V20" s="180" t="s">
        <v>538</v>
      </c>
      <c r="W20" s="180" t="s">
        <v>470</v>
      </c>
    </row>
    <row r="21" spans="1:23" ht="30" x14ac:dyDescent="0.25">
      <c r="A21" s="664"/>
      <c r="B21" s="666" t="s">
        <v>431</v>
      </c>
      <c r="C21" s="206" t="s">
        <v>177</v>
      </c>
      <c r="D21" s="288" t="s">
        <v>310</v>
      </c>
      <c r="E21" s="289" t="s">
        <v>242</v>
      </c>
      <c r="F21" s="359"/>
      <c r="G21" s="359"/>
      <c r="H21" s="359"/>
      <c r="I21" s="359"/>
      <c r="J21" s="359"/>
      <c r="K21" s="359"/>
      <c r="L21" s="359"/>
      <c r="Q21" t="str">
        <f t="shared" si="0"/>
        <v>LOCFORMDCSMP</v>
      </c>
      <c r="R21" t="s">
        <v>538</v>
      </c>
      <c r="S21" t="s">
        <v>470</v>
      </c>
      <c r="U21" s="180" t="s">
        <v>325</v>
      </c>
      <c r="V21" s="180" t="s">
        <v>539</v>
      </c>
      <c r="W21" s="180" t="s">
        <v>474</v>
      </c>
    </row>
    <row r="22" spans="1:23" ht="30" customHeight="1" x14ac:dyDescent="0.25">
      <c r="A22" s="664"/>
      <c r="B22" s="667"/>
      <c r="C22" s="190" t="s">
        <v>507</v>
      </c>
      <c r="D22" s="290" t="s">
        <v>309</v>
      </c>
      <c r="E22" s="291" t="s">
        <v>242</v>
      </c>
      <c r="F22" s="359"/>
      <c r="G22" s="359"/>
      <c r="H22" s="359"/>
      <c r="I22" s="359"/>
      <c r="J22" s="359"/>
      <c r="K22" s="359"/>
      <c r="L22" s="359"/>
      <c r="Q22" t="str">
        <f t="shared" si="0"/>
        <v>LOCFORMDGPNX</v>
      </c>
      <c r="R22" t="s">
        <v>538</v>
      </c>
      <c r="S22" t="s">
        <v>470</v>
      </c>
      <c r="U22" s="180" t="s">
        <v>318</v>
      </c>
      <c r="V22" s="180" t="s">
        <v>538</v>
      </c>
      <c r="W22" s="180" t="s">
        <v>473</v>
      </c>
    </row>
    <row r="23" spans="1:23" ht="30" x14ac:dyDescent="0.25">
      <c r="A23" s="664"/>
      <c r="B23" s="667"/>
      <c r="C23" s="190" t="s">
        <v>456</v>
      </c>
      <c r="D23" s="290" t="s">
        <v>311</v>
      </c>
      <c r="E23" s="291" t="s">
        <v>242</v>
      </c>
      <c r="F23" s="359"/>
      <c r="G23" s="359"/>
      <c r="H23" s="359"/>
      <c r="I23" s="359"/>
      <c r="J23" s="359"/>
      <c r="K23" s="359"/>
      <c r="L23" s="359"/>
      <c r="Q23" t="str">
        <f t="shared" si="0"/>
        <v>LOCFORMDMNEX</v>
      </c>
      <c r="R23" t="s">
        <v>538</v>
      </c>
      <c r="S23" t="s">
        <v>470</v>
      </c>
      <c r="U23" s="180" t="s">
        <v>314</v>
      </c>
      <c r="V23" s="180" t="s">
        <v>542</v>
      </c>
      <c r="W23" s="180" t="s">
        <v>480</v>
      </c>
    </row>
    <row r="24" spans="1:23" x14ac:dyDescent="0.25">
      <c r="A24" s="664"/>
      <c r="B24" s="667"/>
      <c r="C24" s="190" t="s">
        <v>178</v>
      </c>
      <c r="D24" s="290" t="s">
        <v>312</v>
      </c>
      <c r="E24" s="291" t="s">
        <v>242</v>
      </c>
      <c r="F24" s="359"/>
      <c r="G24" s="359"/>
      <c r="H24" s="359"/>
      <c r="I24" s="359"/>
      <c r="J24" s="359"/>
      <c r="K24" s="359"/>
      <c r="L24" s="359"/>
      <c r="Q24" t="str">
        <f t="shared" si="0"/>
        <v>LOCFORMDPEEX</v>
      </c>
      <c r="R24" t="s">
        <v>538</v>
      </c>
      <c r="S24" t="s">
        <v>470</v>
      </c>
      <c r="U24" s="180" t="s">
        <v>326</v>
      </c>
      <c r="V24" s="180" t="s">
        <v>539</v>
      </c>
      <c r="W24" s="180" t="s">
        <v>474</v>
      </c>
    </row>
    <row r="25" spans="1:23" ht="15.75" thickBot="1" x14ac:dyDescent="0.3">
      <c r="A25" s="664"/>
      <c r="B25" s="668"/>
      <c r="C25" s="199" t="s">
        <v>176</v>
      </c>
      <c r="D25" s="294" t="s">
        <v>269</v>
      </c>
      <c r="E25" s="295" t="s">
        <v>171</v>
      </c>
      <c r="F25" s="360"/>
      <c r="G25" s="360"/>
      <c r="H25" s="360"/>
      <c r="I25" s="360"/>
      <c r="J25" s="360"/>
      <c r="K25" s="360"/>
      <c r="L25" s="360"/>
      <c r="Q25" t="str">
        <f t="shared" si="0"/>
        <v>LOCTHCYCOMBU</v>
      </c>
      <c r="R25" t="s">
        <v>538</v>
      </c>
      <c r="S25" t="s">
        <v>470</v>
      </c>
      <c r="U25" s="180" t="s">
        <v>319</v>
      </c>
      <c r="V25" s="180" t="s">
        <v>538</v>
      </c>
      <c r="W25" s="180" t="s">
        <v>467</v>
      </c>
    </row>
    <row r="26" spans="1:23" ht="30" customHeight="1" x14ac:dyDescent="0.25">
      <c r="A26" s="664"/>
      <c r="B26" s="666" t="s">
        <v>432</v>
      </c>
      <c r="C26" s="206" t="s">
        <v>457</v>
      </c>
      <c r="D26" s="288" t="s">
        <v>458</v>
      </c>
      <c r="E26" s="289" t="s">
        <v>242</v>
      </c>
      <c r="F26" s="359"/>
      <c r="G26" s="359"/>
      <c r="H26" s="359"/>
      <c r="I26" s="359"/>
      <c r="J26" s="359"/>
      <c r="K26" s="359"/>
      <c r="L26" s="359"/>
      <c r="Q26" t="str">
        <f t="shared" si="0"/>
        <v>LOCFORMDANVS</v>
      </c>
      <c r="R26" t="s">
        <v>538</v>
      </c>
      <c r="S26" t="s">
        <v>471</v>
      </c>
      <c r="U26" s="180" t="s">
        <v>313</v>
      </c>
      <c r="V26" s="180" t="s">
        <v>538</v>
      </c>
      <c r="W26" s="180" t="s">
        <v>471</v>
      </c>
    </row>
    <row r="27" spans="1:23" ht="30" x14ac:dyDescent="0.25">
      <c r="A27" s="664"/>
      <c r="B27" s="667"/>
      <c r="C27" s="190" t="s">
        <v>459</v>
      </c>
      <c r="D27" s="290" t="s">
        <v>460</v>
      </c>
      <c r="E27" s="291" t="s">
        <v>242</v>
      </c>
      <c r="F27" s="359"/>
      <c r="G27" s="359"/>
      <c r="H27" s="359"/>
      <c r="I27" s="359"/>
      <c r="J27" s="359"/>
      <c r="K27" s="359"/>
      <c r="L27" s="359"/>
      <c r="Q27" t="str">
        <f t="shared" si="0"/>
        <v>LOCFORMDENVI</v>
      </c>
      <c r="R27" t="s">
        <v>538</v>
      </c>
      <c r="S27" t="s">
        <v>471</v>
      </c>
      <c r="U27" s="180" t="s">
        <v>462</v>
      </c>
      <c r="V27" s="180" t="s">
        <v>538</v>
      </c>
      <c r="W27" s="180" t="s">
        <v>471</v>
      </c>
    </row>
    <row r="28" spans="1:23" ht="30" x14ac:dyDescent="0.25">
      <c r="A28" s="664"/>
      <c r="B28" s="667"/>
      <c r="C28" s="190" t="s">
        <v>182</v>
      </c>
      <c r="D28" s="290" t="s">
        <v>313</v>
      </c>
      <c r="E28" s="291" t="s">
        <v>242</v>
      </c>
      <c r="F28" s="359"/>
      <c r="G28" s="359"/>
      <c r="H28" s="359"/>
      <c r="I28" s="359"/>
      <c r="J28" s="359"/>
      <c r="K28" s="359"/>
      <c r="L28" s="359"/>
      <c r="Q28" t="str">
        <f t="shared" si="0"/>
        <v>LOCFORMDL3DX</v>
      </c>
      <c r="R28" t="s">
        <v>538</v>
      </c>
      <c r="S28" t="s">
        <v>471</v>
      </c>
      <c r="U28" s="180" t="s">
        <v>624</v>
      </c>
      <c r="V28" s="180" t="s">
        <v>542</v>
      </c>
      <c r="W28" s="180" t="s">
        <v>478</v>
      </c>
    </row>
    <row r="29" spans="1:23" x14ac:dyDescent="0.25">
      <c r="A29" s="664"/>
      <c r="B29" s="667"/>
      <c r="C29" s="192" t="s">
        <v>461</v>
      </c>
      <c r="D29" s="296" t="s">
        <v>462</v>
      </c>
      <c r="E29" s="297" t="s">
        <v>242</v>
      </c>
      <c r="F29" s="361"/>
      <c r="G29" s="361"/>
      <c r="H29" s="361"/>
      <c r="I29" s="361"/>
      <c r="J29" s="361"/>
      <c r="K29" s="361"/>
      <c r="L29" s="361"/>
      <c r="Q29" t="str">
        <f t="shared" si="0"/>
        <v>LOCFORMDLAGX</v>
      </c>
      <c r="R29" t="s">
        <v>538</v>
      </c>
      <c r="S29" t="s">
        <v>471</v>
      </c>
      <c r="U29" s="180" t="s">
        <v>339</v>
      </c>
      <c r="V29" s="180" t="s">
        <v>540</v>
      </c>
      <c r="W29" s="180" t="s">
        <v>475</v>
      </c>
    </row>
    <row r="30" spans="1:23" ht="15.75" customHeight="1" x14ac:dyDescent="0.25">
      <c r="A30" s="664"/>
      <c r="B30" s="667"/>
      <c r="C30" s="191" t="s">
        <v>183</v>
      </c>
      <c r="D30" s="292" t="s">
        <v>273</v>
      </c>
      <c r="E30" s="293" t="s">
        <v>171</v>
      </c>
      <c r="F30" s="360"/>
      <c r="G30" s="360"/>
      <c r="H30" s="360"/>
      <c r="I30" s="360"/>
      <c r="J30" s="360"/>
      <c r="K30" s="360"/>
      <c r="L30" s="360"/>
      <c r="Q30" t="str">
        <f t="shared" si="0"/>
        <v>LOCTHGESDECH</v>
      </c>
      <c r="R30" t="s">
        <v>538</v>
      </c>
      <c r="S30" t="s">
        <v>471</v>
      </c>
      <c r="U30" s="180" t="s">
        <v>340</v>
      </c>
      <c r="V30" s="180" t="s">
        <v>540</v>
      </c>
      <c r="W30" s="180" t="s">
        <v>475</v>
      </c>
    </row>
    <row r="31" spans="1:23" ht="15.75" customHeight="1" x14ac:dyDescent="0.25">
      <c r="A31" s="664"/>
      <c r="B31" s="667"/>
      <c r="C31" s="191" t="s">
        <v>180</v>
      </c>
      <c r="D31" s="292" t="s">
        <v>271</v>
      </c>
      <c r="E31" s="293" t="s">
        <v>171</v>
      </c>
      <c r="F31" s="360"/>
      <c r="G31" s="360"/>
      <c r="H31" s="360"/>
      <c r="I31" s="360"/>
      <c r="J31" s="360"/>
      <c r="K31" s="360"/>
      <c r="L31" s="360"/>
      <c r="Q31" t="str">
        <f t="shared" si="0"/>
        <v>LOCTHASSAINT</v>
      </c>
      <c r="R31" t="s">
        <v>538</v>
      </c>
      <c r="S31" t="s">
        <v>471</v>
      </c>
      <c r="U31" s="180" t="s">
        <v>341</v>
      </c>
      <c r="V31" s="180" t="s">
        <v>540</v>
      </c>
      <c r="W31" s="180" t="s">
        <v>475</v>
      </c>
    </row>
    <row r="32" spans="1:23" ht="15.75" thickBot="1" x14ac:dyDescent="0.3">
      <c r="A32" s="664"/>
      <c r="B32" s="668"/>
      <c r="C32" s="199" t="s">
        <v>181</v>
      </c>
      <c r="D32" s="294" t="s">
        <v>272</v>
      </c>
      <c r="E32" s="295" t="s">
        <v>171</v>
      </c>
      <c r="F32" s="360"/>
      <c r="G32" s="360"/>
      <c r="H32" s="360"/>
      <c r="I32" s="360"/>
      <c r="J32" s="360"/>
      <c r="K32" s="360"/>
      <c r="L32" s="360"/>
      <c r="Q32" t="str">
        <f t="shared" si="0"/>
        <v>LOCTHDEMANTT</v>
      </c>
      <c r="R32" t="s">
        <v>538</v>
      </c>
      <c r="S32" t="s">
        <v>471</v>
      </c>
      <c r="U32" s="180" t="s">
        <v>311</v>
      </c>
      <c r="V32" s="180" t="s">
        <v>538</v>
      </c>
      <c r="W32" s="180" t="s">
        <v>470</v>
      </c>
    </row>
    <row r="33" spans="1:23" x14ac:dyDescent="0.25">
      <c r="A33" s="664"/>
      <c r="B33" s="669" t="s">
        <v>433</v>
      </c>
      <c r="C33" s="198" t="s">
        <v>175</v>
      </c>
      <c r="D33" s="298" t="s">
        <v>268</v>
      </c>
      <c r="E33" s="299" t="s">
        <v>171</v>
      </c>
      <c r="F33" s="360"/>
      <c r="G33" s="360"/>
      <c r="H33" s="360"/>
      <c r="I33" s="360"/>
      <c r="J33" s="360"/>
      <c r="K33" s="360"/>
      <c r="L33" s="360"/>
      <c r="Q33" t="str">
        <f t="shared" si="0"/>
        <v>LOCTHSYSTFUT</v>
      </c>
      <c r="R33" t="s">
        <v>538</v>
      </c>
      <c r="S33" t="s">
        <v>472</v>
      </c>
      <c r="U33" s="180" t="s">
        <v>683</v>
      </c>
      <c r="V33" s="180" t="s">
        <v>542</v>
      </c>
      <c r="W33" s="180" t="s">
        <v>478</v>
      </c>
    </row>
    <row r="34" spans="1:23" x14ac:dyDescent="0.25">
      <c r="A34" s="664"/>
      <c r="B34" s="670"/>
      <c r="C34" s="191" t="s">
        <v>174</v>
      </c>
      <c r="D34" s="292" t="s">
        <v>267</v>
      </c>
      <c r="E34" s="293" t="s">
        <v>171</v>
      </c>
      <c r="F34" s="360"/>
      <c r="G34" s="360"/>
      <c r="H34" s="360"/>
      <c r="I34" s="360"/>
      <c r="J34" s="360"/>
      <c r="K34" s="360"/>
      <c r="L34" s="360"/>
      <c r="Q34" t="str">
        <f t="shared" si="0"/>
        <v>LOCTHSODEXPL</v>
      </c>
      <c r="R34" t="s">
        <v>538</v>
      </c>
      <c r="S34" t="s">
        <v>472</v>
      </c>
      <c r="U34" s="180" t="s">
        <v>343</v>
      </c>
      <c r="V34" s="180" t="s">
        <v>543</v>
      </c>
      <c r="W34" s="180" t="s">
        <v>559</v>
      </c>
    </row>
    <row r="35" spans="1:23" ht="30.75" customHeight="1" thickBot="1" x14ac:dyDescent="0.3">
      <c r="A35" s="664"/>
      <c r="B35" s="671"/>
      <c r="C35" s="199" t="s">
        <v>173</v>
      </c>
      <c r="D35" s="294" t="s">
        <v>266</v>
      </c>
      <c r="E35" s="295" t="s">
        <v>171</v>
      </c>
      <c r="F35" s="360"/>
      <c r="G35" s="360"/>
      <c r="H35" s="360"/>
      <c r="I35" s="360"/>
      <c r="J35" s="360"/>
      <c r="K35" s="360"/>
      <c r="L35" s="360"/>
      <c r="Q35" t="str">
        <f t="shared" si="0"/>
        <v>LOCTHSODASDM</v>
      </c>
      <c r="R35" t="s">
        <v>538</v>
      </c>
      <c r="S35" t="s">
        <v>472</v>
      </c>
      <c r="U35" s="180" t="s">
        <v>685</v>
      </c>
      <c r="V35" s="180" t="s">
        <v>542</v>
      </c>
      <c r="W35" s="180" t="s">
        <v>478</v>
      </c>
    </row>
    <row r="36" spans="1:23" ht="30.75" thickBot="1" x14ac:dyDescent="0.3">
      <c r="A36" s="664"/>
      <c r="B36" s="207" t="s">
        <v>434</v>
      </c>
      <c r="C36" s="208" t="s">
        <v>213</v>
      </c>
      <c r="D36" s="300" t="s">
        <v>291</v>
      </c>
      <c r="E36" s="301" t="s">
        <v>171</v>
      </c>
      <c r="F36" s="360"/>
      <c r="G36" s="360"/>
      <c r="H36" s="360"/>
      <c r="I36" s="360"/>
      <c r="J36" s="360"/>
      <c r="K36" s="360"/>
      <c r="L36" s="360"/>
      <c r="Q36" t="str">
        <f t="shared" si="0"/>
        <v>LOCTHNTESTOC</v>
      </c>
      <c r="R36" t="s">
        <v>538</v>
      </c>
      <c r="S36" t="s">
        <v>473</v>
      </c>
      <c r="U36" s="180" t="s">
        <v>337</v>
      </c>
      <c r="V36" s="180" t="s">
        <v>540</v>
      </c>
      <c r="W36" s="180" t="s">
        <v>475</v>
      </c>
    </row>
    <row r="37" spans="1:23" x14ac:dyDescent="0.25">
      <c r="A37" s="664"/>
      <c r="B37" s="672" t="s">
        <v>464</v>
      </c>
      <c r="C37" s="209" t="s">
        <v>198</v>
      </c>
      <c r="D37" s="302" t="s">
        <v>318</v>
      </c>
      <c r="E37" s="303" t="s">
        <v>242</v>
      </c>
      <c r="F37" s="362"/>
      <c r="G37" s="362"/>
      <c r="H37" s="362"/>
      <c r="I37" s="362"/>
      <c r="J37" s="362"/>
      <c r="K37" s="362"/>
      <c r="L37" s="362"/>
      <c r="Q37" t="str">
        <f t="shared" si="0"/>
        <v>LOCFORMDIFCE</v>
      </c>
      <c r="R37" t="s">
        <v>538</v>
      </c>
      <c r="S37" t="s">
        <v>473</v>
      </c>
      <c r="U37" s="180" t="s">
        <v>335</v>
      </c>
      <c r="V37" s="180" t="s">
        <v>541</v>
      </c>
      <c r="W37" s="180" t="s">
        <v>477</v>
      </c>
    </row>
    <row r="38" spans="1:23" ht="15.75" thickBot="1" x14ac:dyDescent="0.3">
      <c r="A38" s="665"/>
      <c r="B38" s="673"/>
      <c r="C38" s="205" t="s">
        <v>199</v>
      </c>
      <c r="D38" s="304" t="s">
        <v>320</v>
      </c>
      <c r="E38" s="305" t="s">
        <v>242</v>
      </c>
      <c r="F38" s="362"/>
      <c r="G38" s="362"/>
      <c r="H38" s="362"/>
      <c r="I38" s="362"/>
      <c r="J38" s="362"/>
      <c r="K38" s="362"/>
      <c r="L38" s="362"/>
      <c r="Q38" t="str">
        <f t="shared" si="0"/>
        <v>LOCFORMDVALE</v>
      </c>
      <c r="R38" t="s">
        <v>538</v>
      </c>
      <c r="S38" t="s">
        <v>545</v>
      </c>
      <c r="U38" s="180" t="s">
        <v>312</v>
      </c>
      <c r="V38" s="180" t="s">
        <v>538</v>
      </c>
      <c r="W38" s="180" t="s">
        <v>470</v>
      </c>
    </row>
    <row r="39" spans="1:23" ht="15" customHeight="1" x14ac:dyDescent="0.25">
      <c r="A39" s="651" t="s">
        <v>435</v>
      </c>
      <c r="B39" s="654" t="s">
        <v>436</v>
      </c>
      <c r="C39" s="194" t="s">
        <v>201</v>
      </c>
      <c r="D39" s="306" t="s">
        <v>321</v>
      </c>
      <c r="E39" s="307" t="s">
        <v>242</v>
      </c>
      <c r="F39" s="359"/>
      <c r="G39" s="359"/>
      <c r="H39" s="359"/>
      <c r="I39" s="359"/>
      <c r="J39" s="359"/>
      <c r="K39" s="359"/>
      <c r="L39" s="359"/>
      <c r="Q39" t="str">
        <f t="shared" si="0"/>
        <v>LOCFORMDDESC</v>
      </c>
      <c r="R39" t="s">
        <v>539</v>
      </c>
      <c r="S39" t="s">
        <v>474</v>
      </c>
      <c r="U39" s="180" t="s">
        <v>323</v>
      </c>
      <c r="V39" s="180" t="s">
        <v>539</v>
      </c>
      <c r="W39" s="180" t="s">
        <v>474</v>
      </c>
    </row>
    <row r="40" spans="1:23" ht="15" customHeight="1" x14ac:dyDescent="0.25">
      <c r="A40" s="652"/>
      <c r="B40" s="655"/>
      <c r="C40" s="188" t="s">
        <v>202</v>
      </c>
      <c r="D40" s="308" t="s">
        <v>322</v>
      </c>
      <c r="E40" s="309" t="s">
        <v>242</v>
      </c>
      <c r="F40" s="359"/>
      <c r="G40" s="359"/>
      <c r="H40" s="359"/>
      <c r="I40" s="359"/>
      <c r="J40" s="359"/>
      <c r="K40" s="359"/>
      <c r="L40" s="359"/>
      <c r="Q40" t="str">
        <f t="shared" si="0"/>
        <v>LOCFORMDESMN</v>
      </c>
      <c r="R40" t="s">
        <v>539</v>
      </c>
      <c r="S40" t="s">
        <v>474</v>
      </c>
      <c r="U40" s="180" t="s">
        <v>324</v>
      </c>
      <c r="V40" s="180" t="s">
        <v>539</v>
      </c>
      <c r="W40" s="180" t="s">
        <v>474</v>
      </c>
    </row>
    <row r="41" spans="1:23" ht="15" customHeight="1" x14ac:dyDescent="0.25">
      <c r="A41" s="652"/>
      <c r="B41" s="655"/>
      <c r="C41" s="188" t="s">
        <v>207</v>
      </c>
      <c r="D41" s="308" t="s">
        <v>325</v>
      </c>
      <c r="E41" s="309" t="s">
        <v>242</v>
      </c>
      <c r="F41" s="359"/>
      <c r="G41" s="359"/>
      <c r="H41" s="359"/>
      <c r="I41" s="359"/>
      <c r="J41" s="359"/>
      <c r="K41" s="359"/>
      <c r="L41" s="359"/>
      <c r="Q41" t="str">
        <f t="shared" si="0"/>
        <v>LOCFORMDICBM</v>
      </c>
      <c r="R41" t="s">
        <v>539</v>
      </c>
      <c r="S41" t="s">
        <v>474</v>
      </c>
      <c r="U41" s="180" t="s">
        <v>338</v>
      </c>
      <c r="V41" s="180" t="s">
        <v>541</v>
      </c>
      <c r="W41" s="180" t="s">
        <v>477</v>
      </c>
    </row>
    <row r="42" spans="1:23" ht="15" customHeight="1" x14ac:dyDescent="0.25">
      <c r="A42" s="652"/>
      <c r="B42" s="655"/>
      <c r="C42" s="188" t="s">
        <v>208</v>
      </c>
      <c r="D42" s="308" t="s">
        <v>326</v>
      </c>
      <c r="E42" s="309" t="s">
        <v>242</v>
      </c>
      <c r="F42" s="359"/>
      <c r="G42" s="359"/>
      <c r="H42" s="359"/>
      <c r="I42" s="359"/>
      <c r="J42" s="359"/>
      <c r="K42" s="359"/>
      <c r="L42" s="359"/>
      <c r="Q42" t="str">
        <f t="shared" si="0"/>
        <v>LOCFORMDIMXX</v>
      </c>
      <c r="R42" t="s">
        <v>539</v>
      </c>
      <c r="S42" t="s">
        <v>474</v>
      </c>
      <c r="U42" s="180" t="s">
        <v>317</v>
      </c>
      <c r="V42" s="180" t="s">
        <v>544</v>
      </c>
      <c r="W42" s="180" t="s">
        <v>545</v>
      </c>
    </row>
    <row r="43" spans="1:23" ht="30" x14ac:dyDescent="0.25">
      <c r="A43" s="652"/>
      <c r="B43" s="655"/>
      <c r="C43" s="188" t="s">
        <v>203</v>
      </c>
      <c r="D43" s="308" t="s">
        <v>323</v>
      </c>
      <c r="E43" s="309" t="s">
        <v>242</v>
      </c>
      <c r="F43" s="359"/>
      <c r="G43" s="359"/>
      <c r="H43" s="359"/>
      <c r="I43" s="359"/>
      <c r="J43" s="359"/>
      <c r="K43" s="359"/>
      <c r="L43" s="359"/>
      <c r="Q43" t="str">
        <f t="shared" si="0"/>
        <v>LOCFORMDQPRM</v>
      </c>
      <c r="R43" t="s">
        <v>539</v>
      </c>
      <c r="S43" t="s">
        <v>474</v>
      </c>
      <c r="U43" s="180" t="s">
        <v>342</v>
      </c>
      <c r="V43" s="180" t="s">
        <v>540</v>
      </c>
      <c r="W43" s="180" t="s">
        <v>475</v>
      </c>
    </row>
    <row r="44" spans="1:23" x14ac:dyDescent="0.25">
      <c r="A44" s="652"/>
      <c r="B44" s="655"/>
      <c r="C44" s="188" t="s">
        <v>204</v>
      </c>
      <c r="D44" s="308" t="s">
        <v>324</v>
      </c>
      <c r="E44" s="309" t="s">
        <v>242</v>
      </c>
      <c r="F44" s="359"/>
      <c r="G44" s="359"/>
      <c r="H44" s="359"/>
      <c r="I44" s="359"/>
      <c r="J44" s="359"/>
      <c r="K44" s="359"/>
      <c r="L44" s="359"/>
      <c r="Q44" t="str">
        <f t="shared" si="0"/>
        <v>LOCFORMDRMXX</v>
      </c>
      <c r="R44" t="s">
        <v>539</v>
      </c>
      <c r="S44" t="s">
        <v>474</v>
      </c>
      <c r="U44" s="180" t="s">
        <v>455</v>
      </c>
      <c r="V44" s="180" t="s">
        <v>538</v>
      </c>
      <c r="W44" s="180" t="s">
        <v>469</v>
      </c>
    </row>
    <row r="45" spans="1:23" ht="15" customHeight="1" x14ac:dyDescent="0.25">
      <c r="A45" s="652"/>
      <c r="B45" s="655"/>
      <c r="C45" s="189" t="s">
        <v>205</v>
      </c>
      <c r="D45" s="310" t="s">
        <v>287</v>
      </c>
      <c r="E45" s="311" t="s">
        <v>171</v>
      </c>
      <c r="F45" s="360"/>
      <c r="G45" s="360"/>
      <c r="H45" s="360"/>
      <c r="I45" s="360"/>
      <c r="J45" s="360"/>
      <c r="K45" s="360"/>
      <c r="L45" s="360"/>
      <c r="Q45" t="str">
        <f t="shared" si="0"/>
        <v>LOCTHRADIOPH</v>
      </c>
      <c r="R45" t="s">
        <v>539</v>
      </c>
      <c r="S45" t="s">
        <v>474</v>
      </c>
      <c r="U45" s="180" t="s">
        <v>315</v>
      </c>
      <c r="V45" s="180" t="s">
        <v>538</v>
      </c>
      <c r="W45" s="180" t="s">
        <v>468</v>
      </c>
    </row>
    <row r="46" spans="1:23" ht="15" customHeight="1" x14ac:dyDescent="0.25">
      <c r="A46" s="652"/>
      <c r="B46" s="655"/>
      <c r="C46" s="189" t="s">
        <v>200</v>
      </c>
      <c r="D46" s="310" t="s">
        <v>286</v>
      </c>
      <c r="E46" s="311" t="s">
        <v>171</v>
      </c>
      <c r="F46" s="360"/>
      <c r="G46" s="360"/>
      <c r="H46" s="360"/>
      <c r="I46" s="360"/>
      <c r="J46" s="360"/>
      <c r="K46" s="360"/>
      <c r="L46" s="360"/>
      <c r="Q46" t="str">
        <f t="shared" si="0"/>
        <v>LOCTHAPPCLIN</v>
      </c>
      <c r="R46" t="s">
        <v>539</v>
      </c>
      <c r="S46" t="s">
        <v>474</v>
      </c>
      <c r="U46" s="180" t="s">
        <v>331</v>
      </c>
      <c r="V46" s="180" t="s">
        <v>542</v>
      </c>
      <c r="W46" s="180" t="s">
        <v>478</v>
      </c>
    </row>
    <row r="47" spans="1:23" ht="15.75" customHeight="1" x14ac:dyDescent="0.25">
      <c r="A47" s="652"/>
      <c r="B47" s="655"/>
      <c r="C47" s="189" t="s">
        <v>206</v>
      </c>
      <c r="D47" s="310" t="s">
        <v>288</v>
      </c>
      <c r="E47" s="311" t="s">
        <v>171</v>
      </c>
      <c r="F47" s="360"/>
      <c r="G47" s="360"/>
      <c r="H47" s="360"/>
      <c r="I47" s="360"/>
      <c r="J47" s="360"/>
      <c r="K47" s="360"/>
      <c r="L47" s="360"/>
      <c r="Q47" t="str">
        <f t="shared" si="0"/>
        <v>LOCTHRADIOTH</v>
      </c>
      <c r="R47" t="s">
        <v>539</v>
      </c>
      <c r="S47" t="s">
        <v>474</v>
      </c>
      <c r="U47" s="180" t="s">
        <v>320</v>
      </c>
      <c r="V47" s="180" t="s">
        <v>538</v>
      </c>
      <c r="W47" s="180" t="s">
        <v>545</v>
      </c>
    </row>
    <row r="48" spans="1:23" ht="15.75" thickBot="1" x14ac:dyDescent="0.3">
      <c r="A48" s="653"/>
      <c r="B48" s="656"/>
      <c r="C48" s="195" t="s">
        <v>209</v>
      </c>
      <c r="D48" s="312" t="s">
        <v>289</v>
      </c>
      <c r="E48" s="313" t="s">
        <v>171</v>
      </c>
      <c r="F48" s="360"/>
      <c r="G48" s="360"/>
      <c r="H48" s="360"/>
      <c r="I48" s="360"/>
      <c r="J48" s="360"/>
      <c r="K48" s="360"/>
      <c r="L48" s="360"/>
      <c r="Q48" t="str">
        <f t="shared" si="0"/>
        <v>LOCTHIMAGBIO</v>
      </c>
      <c r="R48" t="s">
        <v>539</v>
      </c>
      <c r="S48" t="s">
        <v>474</v>
      </c>
      <c r="U48" s="180" t="s">
        <v>286</v>
      </c>
      <c r="V48" s="180" t="s">
        <v>539</v>
      </c>
      <c r="W48" s="180" t="s">
        <v>474</v>
      </c>
    </row>
    <row r="49" spans="1:23" ht="30" x14ac:dyDescent="0.25">
      <c r="A49" s="657" t="s">
        <v>437</v>
      </c>
      <c r="B49" s="677" t="s">
        <v>438</v>
      </c>
      <c r="C49" s="196" t="s">
        <v>234</v>
      </c>
      <c r="D49" s="314" t="s">
        <v>339</v>
      </c>
      <c r="E49" s="315" t="s">
        <v>242</v>
      </c>
      <c r="F49" s="359"/>
      <c r="G49" s="359"/>
      <c r="H49" s="359"/>
      <c r="I49" s="359"/>
      <c r="J49" s="359"/>
      <c r="K49" s="359"/>
      <c r="L49" s="359"/>
      <c r="Q49" t="str">
        <f t="shared" si="0"/>
        <v>LOCFORMDMANU</v>
      </c>
      <c r="R49" t="s">
        <v>540</v>
      </c>
      <c r="S49" t="s">
        <v>475</v>
      </c>
      <c r="U49" s="180" t="s">
        <v>271</v>
      </c>
      <c r="V49" s="180" t="s">
        <v>538</v>
      </c>
      <c r="W49" s="180" t="s">
        <v>471</v>
      </c>
    </row>
    <row r="50" spans="1:23" x14ac:dyDescent="0.25">
      <c r="A50" s="658"/>
      <c r="B50" s="678"/>
      <c r="C50" s="186" t="s">
        <v>235</v>
      </c>
      <c r="D50" s="316" t="s">
        <v>340</v>
      </c>
      <c r="E50" s="317" t="s">
        <v>242</v>
      </c>
      <c r="F50" s="359"/>
      <c r="G50" s="359"/>
      <c r="H50" s="359"/>
      <c r="I50" s="359"/>
      <c r="J50" s="359"/>
      <c r="K50" s="359"/>
      <c r="L50" s="359"/>
      <c r="Q50" t="str">
        <f t="shared" si="0"/>
        <v>LOCFORMDMAVI</v>
      </c>
      <c r="R50" t="s">
        <v>540</v>
      </c>
      <c r="S50" t="s">
        <v>475</v>
      </c>
      <c r="U50" s="180" t="s">
        <v>293</v>
      </c>
      <c r="V50" s="180" t="s">
        <v>542</v>
      </c>
      <c r="W50" s="180" t="s">
        <v>478</v>
      </c>
    </row>
    <row r="51" spans="1:23" ht="15" customHeight="1" x14ac:dyDescent="0.25">
      <c r="A51" s="658"/>
      <c r="B51" s="678"/>
      <c r="C51" s="186" t="s">
        <v>236</v>
      </c>
      <c r="D51" s="316" t="s">
        <v>341</v>
      </c>
      <c r="E51" s="317" t="s">
        <v>242</v>
      </c>
      <c r="F51" s="359"/>
      <c r="G51" s="359"/>
      <c r="H51" s="359"/>
      <c r="I51" s="359"/>
      <c r="J51" s="359"/>
      <c r="K51" s="359"/>
      <c r="L51" s="359"/>
      <c r="Q51" t="str">
        <f t="shared" si="0"/>
        <v>LOCFORMDMETX</v>
      </c>
      <c r="R51" t="s">
        <v>540</v>
      </c>
      <c r="S51" t="s">
        <v>475</v>
      </c>
      <c r="U51" s="180" t="s">
        <v>302</v>
      </c>
      <c r="V51" s="180" t="s">
        <v>540</v>
      </c>
      <c r="W51" s="180" t="s">
        <v>475</v>
      </c>
    </row>
    <row r="52" spans="1:23" ht="15" customHeight="1" x14ac:dyDescent="0.25">
      <c r="A52" s="658"/>
      <c r="B52" s="678"/>
      <c r="C52" s="186" t="s">
        <v>228</v>
      </c>
      <c r="D52" s="316" t="s">
        <v>337</v>
      </c>
      <c r="E52" s="317" t="s">
        <v>242</v>
      </c>
      <c r="F52" s="359"/>
      <c r="G52" s="359"/>
      <c r="H52" s="359"/>
      <c r="I52" s="359"/>
      <c r="J52" s="359"/>
      <c r="K52" s="359"/>
      <c r="L52" s="359"/>
      <c r="Q52" t="str">
        <f t="shared" si="0"/>
        <v>LOCFORMDNANO</v>
      </c>
      <c r="R52" t="s">
        <v>540</v>
      </c>
      <c r="S52" t="s">
        <v>475</v>
      </c>
      <c r="U52" s="180" t="s">
        <v>555</v>
      </c>
      <c r="V52" s="180" t="s">
        <v>543</v>
      </c>
      <c r="W52" s="180" t="s">
        <v>559</v>
      </c>
    </row>
    <row r="53" spans="1:23" ht="15" customHeight="1" x14ac:dyDescent="0.25">
      <c r="A53" s="658"/>
      <c r="B53" s="678"/>
      <c r="C53" s="186" t="s">
        <v>237</v>
      </c>
      <c r="D53" s="316" t="s">
        <v>342</v>
      </c>
      <c r="E53" s="317" t="s">
        <v>242</v>
      </c>
      <c r="F53" s="359"/>
      <c r="G53" s="359"/>
      <c r="H53" s="359"/>
      <c r="I53" s="359"/>
      <c r="J53" s="359"/>
      <c r="K53" s="359"/>
      <c r="L53" s="359"/>
      <c r="Q53" t="str">
        <f t="shared" si="0"/>
        <v>LOCFORMDSTNX</v>
      </c>
      <c r="R53" t="s">
        <v>540</v>
      </c>
      <c r="S53" t="s">
        <v>475</v>
      </c>
      <c r="U53" s="180" t="s">
        <v>269</v>
      </c>
      <c r="V53" s="180" t="s">
        <v>538</v>
      </c>
      <c r="W53" s="180" t="s">
        <v>470</v>
      </c>
    </row>
    <row r="54" spans="1:23" ht="15" customHeight="1" x14ac:dyDescent="0.25">
      <c r="A54" s="658"/>
      <c r="B54" s="678"/>
      <c r="C54" s="187" t="s">
        <v>239</v>
      </c>
      <c r="D54" s="318" t="s">
        <v>305</v>
      </c>
      <c r="E54" s="319" t="s">
        <v>171</v>
      </c>
      <c r="F54" s="360"/>
      <c r="G54" s="360"/>
      <c r="H54" s="360"/>
      <c r="I54" s="360"/>
      <c r="J54" s="360"/>
      <c r="K54" s="360"/>
      <c r="L54" s="360"/>
      <c r="Q54" t="str">
        <f t="shared" si="0"/>
        <v>LOCTHMATXNUC</v>
      </c>
      <c r="R54" t="s">
        <v>540</v>
      </c>
      <c r="S54" t="s">
        <v>475</v>
      </c>
      <c r="U54" s="180" t="s">
        <v>272</v>
      </c>
      <c r="V54" s="180" t="s">
        <v>538</v>
      </c>
      <c r="W54" s="180" t="s">
        <v>471</v>
      </c>
    </row>
    <row r="55" spans="1:23" ht="15" customHeight="1" x14ac:dyDescent="0.25">
      <c r="A55" s="658"/>
      <c r="B55" s="678"/>
      <c r="C55" s="187" t="s">
        <v>238</v>
      </c>
      <c r="D55" s="318" t="s">
        <v>304</v>
      </c>
      <c r="E55" s="319" t="s">
        <v>171</v>
      </c>
      <c r="F55" s="360"/>
      <c r="G55" s="360"/>
      <c r="H55" s="360"/>
      <c r="I55" s="360"/>
      <c r="J55" s="360"/>
      <c r="K55" s="360"/>
      <c r="L55" s="360"/>
      <c r="Q55" t="str">
        <f t="shared" si="0"/>
        <v>LOCTHMATXNTE</v>
      </c>
      <c r="R55" t="s">
        <v>540</v>
      </c>
      <c r="S55" t="s">
        <v>475</v>
      </c>
      <c r="U55" s="180" t="s">
        <v>274</v>
      </c>
      <c r="V55" s="180" t="s">
        <v>542</v>
      </c>
      <c r="W55" s="180" t="s">
        <v>480</v>
      </c>
    </row>
    <row r="56" spans="1:23" ht="15.75" customHeight="1" x14ac:dyDescent="0.25">
      <c r="A56" s="658"/>
      <c r="B56" s="678"/>
      <c r="C56" s="187" t="s">
        <v>233</v>
      </c>
      <c r="D56" s="318" t="s">
        <v>303</v>
      </c>
      <c r="E56" s="319" t="s">
        <v>171</v>
      </c>
      <c r="F56" s="360"/>
      <c r="G56" s="360"/>
      <c r="H56" s="360"/>
      <c r="I56" s="360"/>
      <c r="J56" s="360"/>
      <c r="K56" s="360"/>
      <c r="L56" s="360"/>
      <c r="Q56" t="str">
        <f t="shared" si="0"/>
        <v>LOCTHFABRADD</v>
      </c>
      <c r="R56" t="s">
        <v>540</v>
      </c>
      <c r="S56" t="s">
        <v>475</v>
      </c>
      <c r="U56" s="180" t="s">
        <v>299</v>
      </c>
      <c r="V56" s="180" t="s">
        <v>542</v>
      </c>
      <c r="W56" s="180" t="s">
        <v>479</v>
      </c>
    </row>
    <row r="57" spans="1:23" ht="46.5" customHeight="1" thickBot="1" x14ac:dyDescent="0.3">
      <c r="A57" s="659"/>
      <c r="B57" s="679"/>
      <c r="C57" s="197" t="s">
        <v>232</v>
      </c>
      <c r="D57" s="320" t="s">
        <v>302</v>
      </c>
      <c r="E57" s="321" t="s">
        <v>171</v>
      </c>
      <c r="F57" s="360"/>
      <c r="G57" s="360"/>
      <c r="H57" s="360"/>
      <c r="I57" s="360"/>
      <c r="J57" s="360"/>
      <c r="K57" s="360"/>
      <c r="L57" s="360"/>
      <c r="Q57" t="str">
        <f t="shared" si="0"/>
        <v>LOCTHCARAMAT</v>
      </c>
      <c r="R57" t="s">
        <v>540</v>
      </c>
      <c r="S57" t="s">
        <v>475</v>
      </c>
      <c r="U57" s="180" t="s">
        <v>277</v>
      </c>
      <c r="V57" s="180" t="s">
        <v>538</v>
      </c>
      <c r="W57" s="180" t="s">
        <v>469</v>
      </c>
    </row>
    <row r="58" spans="1:23" ht="15" customHeight="1" x14ac:dyDescent="0.25">
      <c r="A58" s="680" t="s">
        <v>439</v>
      </c>
      <c r="B58" s="682" t="s">
        <v>440</v>
      </c>
      <c r="C58" s="200" t="s">
        <v>230</v>
      </c>
      <c r="D58" s="322" t="s">
        <v>300</v>
      </c>
      <c r="E58" s="323" t="s">
        <v>171</v>
      </c>
      <c r="F58" s="360"/>
      <c r="G58" s="360"/>
      <c r="H58" s="360"/>
      <c r="I58" s="360"/>
      <c r="J58" s="360"/>
      <c r="K58" s="360"/>
      <c r="L58" s="360"/>
      <c r="Q58" t="str">
        <f t="shared" si="0"/>
        <v>LOCTHINTEGRA</v>
      </c>
      <c r="R58" t="s">
        <v>541</v>
      </c>
      <c r="S58" t="s">
        <v>476</v>
      </c>
      <c r="U58" s="180" t="s">
        <v>303</v>
      </c>
      <c r="V58" s="180" t="s">
        <v>540</v>
      </c>
      <c r="W58" s="180" t="s">
        <v>475</v>
      </c>
    </row>
    <row r="59" spans="1:23" ht="36.75" customHeight="1" thickBot="1" x14ac:dyDescent="0.3">
      <c r="A59" s="681"/>
      <c r="B59" s="683"/>
      <c r="C59" s="201" t="s">
        <v>231</v>
      </c>
      <c r="D59" s="324" t="s">
        <v>301</v>
      </c>
      <c r="E59" s="325" t="s">
        <v>171</v>
      </c>
      <c r="F59" s="360"/>
      <c r="G59" s="360"/>
      <c r="H59" s="360"/>
      <c r="I59" s="360"/>
      <c r="J59" s="360"/>
      <c r="K59" s="360"/>
      <c r="L59" s="360"/>
      <c r="Q59" t="str">
        <f t="shared" si="0"/>
        <v>LOCTHTECHAPP</v>
      </c>
      <c r="R59" t="s">
        <v>541</v>
      </c>
      <c r="S59" t="s">
        <v>476</v>
      </c>
      <c r="U59" s="180" t="s">
        <v>306</v>
      </c>
      <c r="V59" s="180" t="s">
        <v>544</v>
      </c>
      <c r="W59" s="180" t="s">
        <v>481</v>
      </c>
    </row>
    <row r="60" spans="1:23" ht="20.25" customHeight="1" x14ac:dyDescent="0.25">
      <c r="A60" s="681"/>
      <c r="B60" s="684" t="s">
        <v>441</v>
      </c>
      <c r="C60" s="210" t="s">
        <v>223</v>
      </c>
      <c r="D60" s="326" t="s">
        <v>333</v>
      </c>
      <c r="E60" s="327" t="s">
        <v>242</v>
      </c>
      <c r="F60" s="359"/>
      <c r="G60" s="359"/>
      <c r="H60" s="359"/>
      <c r="I60" s="359"/>
      <c r="J60" s="359"/>
      <c r="K60" s="359"/>
      <c r="L60" s="359"/>
      <c r="Q60" t="str">
        <f t="shared" si="0"/>
        <v>LOCFORMDAMSX</v>
      </c>
      <c r="R60" t="s">
        <v>541</v>
      </c>
      <c r="S60" t="s">
        <v>477</v>
      </c>
      <c r="U60" s="180" t="s">
        <v>332</v>
      </c>
      <c r="V60" s="180" t="s">
        <v>542</v>
      </c>
      <c r="W60" s="180" t="s">
        <v>478</v>
      </c>
    </row>
    <row r="61" spans="1:23" x14ac:dyDescent="0.25">
      <c r="A61" s="681"/>
      <c r="B61" s="685"/>
      <c r="C61" s="193" t="s">
        <v>224</v>
      </c>
      <c r="D61" s="328" t="s">
        <v>334</v>
      </c>
      <c r="E61" s="329" t="s">
        <v>242</v>
      </c>
      <c r="F61" s="359"/>
      <c r="G61" s="359"/>
      <c r="H61" s="359"/>
      <c r="I61" s="359"/>
      <c r="J61" s="359"/>
      <c r="K61" s="359"/>
      <c r="L61" s="359"/>
      <c r="Q61" t="str">
        <f t="shared" si="0"/>
        <v>LOCFORMDCHPS</v>
      </c>
      <c r="R61" t="s">
        <v>541</v>
      </c>
      <c r="S61" t="s">
        <v>477</v>
      </c>
      <c r="U61" s="180" t="s">
        <v>278</v>
      </c>
      <c r="V61" s="180" t="s">
        <v>538</v>
      </c>
      <c r="W61" s="180" t="s">
        <v>469</v>
      </c>
    </row>
    <row r="62" spans="1:23" ht="30" x14ac:dyDescent="0.25">
      <c r="A62" s="681"/>
      <c r="B62" s="685"/>
      <c r="C62" s="193" t="s">
        <v>227</v>
      </c>
      <c r="D62" s="328" t="s">
        <v>336</v>
      </c>
      <c r="E62" s="329" t="s">
        <v>242</v>
      </c>
      <c r="F62" s="359"/>
      <c r="G62" s="359"/>
      <c r="H62" s="359"/>
      <c r="I62" s="359"/>
      <c r="J62" s="359"/>
      <c r="K62" s="359"/>
      <c r="L62" s="359"/>
      <c r="Q62" t="str">
        <f t="shared" si="0"/>
        <v>LOCFORMDCOMA</v>
      </c>
      <c r="R62" t="s">
        <v>541</v>
      </c>
      <c r="S62" t="s">
        <v>477</v>
      </c>
      <c r="U62" s="180" t="s">
        <v>681</v>
      </c>
      <c r="V62" s="180" t="s">
        <v>542</v>
      </c>
      <c r="W62" s="180" t="s">
        <v>478</v>
      </c>
    </row>
    <row r="63" spans="1:23" x14ac:dyDescent="0.25">
      <c r="A63" s="681"/>
      <c r="B63" s="685"/>
      <c r="C63" s="193" t="s">
        <v>225</v>
      </c>
      <c r="D63" s="328" t="s">
        <v>335</v>
      </c>
      <c r="E63" s="329" t="s">
        <v>242</v>
      </c>
      <c r="F63" s="359"/>
      <c r="G63" s="359"/>
      <c r="H63" s="359"/>
      <c r="I63" s="359"/>
      <c r="J63" s="359"/>
      <c r="K63" s="359"/>
      <c r="L63" s="359"/>
      <c r="Q63" t="str">
        <f t="shared" si="0"/>
        <v>LOCFORMDNPAC</v>
      </c>
      <c r="R63" t="s">
        <v>541</v>
      </c>
      <c r="S63" t="s">
        <v>477</v>
      </c>
      <c r="U63" s="180" t="s">
        <v>294</v>
      </c>
      <c r="V63" s="180" t="s">
        <v>542</v>
      </c>
      <c r="W63" s="180" t="s">
        <v>478</v>
      </c>
    </row>
    <row r="64" spans="1:23" ht="30.75" thickBot="1" x14ac:dyDescent="0.3">
      <c r="A64" s="681"/>
      <c r="B64" s="685"/>
      <c r="C64" s="193" t="s">
        <v>229</v>
      </c>
      <c r="D64" s="328" t="s">
        <v>338</v>
      </c>
      <c r="E64" s="329" t="s">
        <v>242</v>
      </c>
      <c r="F64" s="359"/>
      <c r="G64" s="359"/>
      <c r="H64" s="359"/>
      <c r="I64" s="359"/>
      <c r="J64" s="359"/>
      <c r="K64" s="359"/>
      <c r="L64" s="359"/>
      <c r="Q64" t="str">
        <f t="shared" si="0"/>
        <v>LOCFORMDSETI</v>
      </c>
      <c r="R64" t="s">
        <v>541</v>
      </c>
      <c r="S64" t="s">
        <v>477</v>
      </c>
      <c r="U64" s="180" t="s">
        <v>552</v>
      </c>
      <c r="V64" s="180" t="s">
        <v>543</v>
      </c>
      <c r="W64" s="180" t="s">
        <v>559</v>
      </c>
    </row>
    <row r="65" spans="1:23" ht="45" x14ac:dyDescent="0.25">
      <c r="A65" s="692" t="s">
        <v>442</v>
      </c>
      <c r="B65" s="695" t="s">
        <v>443</v>
      </c>
      <c r="C65" s="202" t="s">
        <v>216</v>
      </c>
      <c r="D65" s="330" t="s">
        <v>328</v>
      </c>
      <c r="E65" s="331" t="s">
        <v>242</v>
      </c>
      <c r="F65" s="359"/>
      <c r="G65" s="359"/>
      <c r="H65" s="359"/>
      <c r="I65" s="359"/>
      <c r="J65" s="359"/>
      <c r="K65" s="359"/>
      <c r="L65" s="359"/>
      <c r="Q65" t="str">
        <f t="shared" si="0"/>
        <v>LOCFORMDAGED</v>
      </c>
      <c r="R65" t="s">
        <v>542</v>
      </c>
      <c r="S65" t="s">
        <v>478</v>
      </c>
      <c r="U65" s="180" t="s">
        <v>273</v>
      </c>
      <c r="V65" s="180" t="s">
        <v>538</v>
      </c>
      <c r="W65" s="180" t="s">
        <v>471</v>
      </c>
    </row>
    <row r="66" spans="1:23" ht="30" x14ac:dyDescent="0.25">
      <c r="A66" s="693"/>
      <c r="B66" s="696"/>
      <c r="C66" s="184" t="s">
        <v>616</v>
      </c>
      <c r="D66" s="332" t="s">
        <v>329</v>
      </c>
      <c r="E66" s="333" t="s">
        <v>242</v>
      </c>
      <c r="F66" s="359"/>
      <c r="G66" s="359"/>
      <c r="H66" s="359"/>
      <c r="I66" s="359"/>
      <c r="J66" s="359"/>
      <c r="K66" s="359"/>
      <c r="L66" s="359"/>
      <c r="Q66" t="str">
        <f t="shared" si="0"/>
        <v>LOCFORMDCRIA</v>
      </c>
      <c r="R66" t="s">
        <v>542</v>
      </c>
      <c r="S66" t="s">
        <v>478</v>
      </c>
      <c r="U66" s="180" t="s">
        <v>557</v>
      </c>
      <c r="V66" s="180" t="s">
        <v>543</v>
      </c>
      <c r="W66" s="180" t="s">
        <v>559</v>
      </c>
    </row>
    <row r="67" spans="1:23" ht="30" x14ac:dyDescent="0.25">
      <c r="A67" s="693"/>
      <c r="B67" s="696"/>
      <c r="C67" s="184" t="s">
        <v>682</v>
      </c>
      <c r="D67" s="332" t="s">
        <v>683</v>
      </c>
      <c r="E67" s="333" t="s">
        <v>242</v>
      </c>
      <c r="F67" s="359"/>
      <c r="G67" s="359"/>
      <c r="H67" s="359"/>
      <c r="I67" s="359"/>
      <c r="J67" s="359"/>
      <c r="K67" s="359"/>
      <c r="L67" s="359"/>
      <c r="Q67" t="str">
        <f t="shared" si="0"/>
        <v>LOCFORMDMRSN</v>
      </c>
      <c r="R67" t="s">
        <v>542</v>
      </c>
      <c r="S67" t="s">
        <v>478</v>
      </c>
      <c r="U67" s="180" t="s">
        <v>279</v>
      </c>
      <c r="V67" s="180" t="s">
        <v>538</v>
      </c>
      <c r="W67" s="180" t="s">
        <v>469</v>
      </c>
    </row>
    <row r="68" spans="1:23" ht="30" x14ac:dyDescent="0.25">
      <c r="A68" s="693"/>
      <c r="B68" s="696"/>
      <c r="C68" s="184" t="s">
        <v>217</v>
      </c>
      <c r="D68" s="332" t="s">
        <v>330</v>
      </c>
      <c r="E68" s="333" t="s">
        <v>242</v>
      </c>
      <c r="F68" s="359"/>
      <c r="G68" s="359"/>
      <c r="H68" s="359"/>
      <c r="I68" s="359"/>
      <c r="J68" s="359"/>
      <c r="K68" s="359"/>
      <c r="L68" s="359"/>
      <c r="Q68" t="str">
        <f t="shared" si="0"/>
        <v>LOCFORMDEMRP</v>
      </c>
      <c r="R68" t="s">
        <v>542</v>
      </c>
      <c r="S68" t="s">
        <v>478</v>
      </c>
      <c r="U68" s="180" t="s">
        <v>289</v>
      </c>
      <c r="V68" s="180" t="s">
        <v>539</v>
      </c>
      <c r="W68" s="180" t="s">
        <v>474</v>
      </c>
    </row>
    <row r="69" spans="1:23" x14ac:dyDescent="0.25">
      <c r="A69" s="693"/>
      <c r="B69" s="696"/>
      <c r="C69" s="184" t="s">
        <v>463</v>
      </c>
      <c r="D69" s="332" t="s">
        <v>331</v>
      </c>
      <c r="E69" s="333" t="s">
        <v>242</v>
      </c>
      <c r="F69" s="359"/>
      <c r="G69" s="359"/>
      <c r="H69" s="359"/>
      <c r="I69" s="359"/>
      <c r="J69" s="359"/>
      <c r="K69" s="359"/>
      <c r="L69" s="359"/>
      <c r="Q69" t="str">
        <f t="shared" ref="Q69:Q97" si="1">D69</f>
        <v>LOCFORMDTTRX</v>
      </c>
      <c r="R69" t="s">
        <v>542</v>
      </c>
      <c r="S69" t="s">
        <v>478</v>
      </c>
      <c r="U69" s="180" t="s">
        <v>553</v>
      </c>
      <c r="V69" s="180" t="s">
        <v>543</v>
      </c>
      <c r="W69" s="180" t="s">
        <v>559</v>
      </c>
    </row>
    <row r="70" spans="1:23" x14ac:dyDescent="0.25">
      <c r="A70" s="693"/>
      <c r="B70" s="696"/>
      <c r="C70" s="184" t="s">
        <v>623</v>
      </c>
      <c r="D70" s="332" t="s">
        <v>624</v>
      </c>
      <c r="E70" s="333" t="s">
        <v>242</v>
      </c>
      <c r="F70" s="359"/>
      <c r="G70" s="359"/>
      <c r="H70" s="359"/>
      <c r="I70" s="359"/>
      <c r="J70" s="359"/>
      <c r="K70" s="359"/>
      <c r="L70" s="359"/>
      <c r="Q70" t="str">
        <f>D70</f>
        <v>LOCFORMDLSMX</v>
      </c>
      <c r="R70" t="s">
        <v>542</v>
      </c>
      <c r="S70" t="s">
        <v>478</v>
      </c>
      <c r="U70" s="180" t="s">
        <v>300</v>
      </c>
      <c r="V70" s="180" t="s">
        <v>541</v>
      </c>
      <c r="W70" s="180" t="s">
        <v>476</v>
      </c>
    </row>
    <row r="71" spans="1:23" x14ac:dyDescent="0.25">
      <c r="A71" s="693"/>
      <c r="B71" s="696"/>
      <c r="C71" s="184" t="s">
        <v>684</v>
      </c>
      <c r="D71" s="332" t="s">
        <v>685</v>
      </c>
      <c r="E71" s="333" t="s">
        <v>242</v>
      </c>
      <c r="F71" s="359"/>
      <c r="G71" s="359"/>
      <c r="H71" s="359"/>
      <c r="I71" s="359"/>
      <c r="J71" s="359"/>
      <c r="K71" s="359"/>
      <c r="L71" s="359"/>
      <c r="Q71" t="str">
        <f>D71</f>
        <v>LOCFORMDM2RX</v>
      </c>
      <c r="R71" t="s">
        <v>542</v>
      </c>
      <c r="S71" t="s">
        <v>478</v>
      </c>
      <c r="U71" s="180" t="s">
        <v>703</v>
      </c>
      <c r="V71" s="180" t="s">
        <v>543</v>
      </c>
      <c r="W71" s="180" t="s">
        <v>558</v>
      </c>
    </row>
    <row r="72" spans="1:23" x14ac:dyDescent="0.25">
      <c r="A72" s="693"/>
      <c r="B72" s="696"/>
      <c r="C72" s="185" t="s">
        <v>218</v>
      </c>
      <c r="D72" s="334" t="s">
        <v>332</v>
      </c>
      <c r="E72" s="335" t="s">
        <v>171</v>
      </c>
      <c r="F72" s="360"/>
      <c r="G72" s="360"/>
      <c r="H72" s="360"/>
      <c r="I72" s="360"/>
      <c r="J72" s="360"/>
      <c r="K72" s="360"/>
      <c r="L72" s="360"/>
      <c r="Q72" t="str">
        <f t="shared" si="1"/>
        <v>LOCTHFDTXRAD</v>
      </c>
      <c r="R72" t="s">
        <v>542</v>
      </c>
      <c r="S72" t="s">
        <v>478</v>
      </c>
      <c r="U72" s="180" t="s">
        <v>304</v>
      </c>
      <c r="V72" s="180" t="s">
        <v>540</v>
      </c>
      <c r="W72" s="180" t="s">
        <v>475</v>
      </c>
    </row>
    <row r="73" spans="1:23" x14ac:dyDescent="0.25">
      <c r="A73" s="693"/>
      <c r="B73" s="696"/>
      <c r="C73" s="185" t="s">
        <v>221</v>
      </c>
      <c r="D73" s="334" t="s">
        <v>296</v>
      </c>
      <c r="E73" s="335" t="s">
        <v>171</v>
      </c>
      <c r="F73" s="360"/>
      <c r="G73" s="360"/>
      <c r="H73" s="360"/>
      <c r="I73" s="360"/>
      <c r="J73" s="360"/>
      <c r="K73" s="360"/>
      <c r="L73" s="360"/>
      <c r="Q73" t="str">
        <f t="shared" si="1"/>
        <v>LOCTHRADPERS</v>
      </c>
      <c r="R73" t="s">
        <v>542</v>
      </c>
      <c r="S73" t="s">
        <v>478</v>
      </c>
      <c r="U73" s="180" t="s">
        <v>305</v>
      </c>
      <c r="V73" s="180" t="s">
        <v>540</v>
      </c>
      <c r="W73" s="180" t="s">
        <v>475</v>
      </c>
    </row>
    <row r="74" spans="1:23" x14ac:dyDescent="0.25">
      <c r="A74" s="693"/>
      <c r="B74" s="696"/>
      <c r="C74" s="185" t="s">
        <v>215</v>
      </c>
      <c r="D74" s="334" t="s">
        <v>293</v>
      </c>
      <c r="E74" s="335" t="s">
        <v>171</v>
      </c>
      <c r="F74" s="360"/>
      <c r="G74" s="360"/>
      <c r="H74" s="360"/>
      <c r="I74" s="360"/>
      <c r="J74" s="360"/>
      <c r="K74" s="360"/>
      <c r="L74" s="360"/>
      <c r="Q74" t="str">
        <f t="shared" si="1"/>
        <v>LOCTHCAMARIX</v>
      </c>
      <c r="R74" t="s">
        <v>542</v>
      </c>
      <c r="S74" t="s">
        <v>478</v>
      </c>
      <c r="U74" s="215" t="s">
        <v>290</v>
      </c>
      <c r="V74" s="215" t="s">
        <v>538</v>
      </c>
      <c r="W74" s="215" t="s">
        <v>466</v>
      </c>
    </row>
    <row r="75" spans="1:23" x14ac:dyDescent="0.25">
      <c r="A75" s="693"/>
      <c r="B75" s="696"/>
      <c r="C75" s="185" t="s">
        <v>220</v>
      </c>
      <c r="D75" s="334" t="s">
        <v>295</v>
      </c>
      <c r="E75" s="335" t="s">
        <v>171</v>
      </c>
      <c r="F75" s="360"/>
      <c r="G75" s="360"/>
      <c r="H75" s="360"/>
      <c r="I75" s="360"/>
      <c r="J75" s="360"/>
      <c r="K75" s="360"/>
      <c r="L75" s="360"/>
      <c r="Q75" t="str">
        <f t="shared" si="1"/>
        <v>LOCTHPRORADI</v>
      </c>
      <c r="R75" t="s">
        <v>542</v>
      </c>
      <c r="S75" t="s">
        <v>478</v>
      </c>
      <c r="U75" s="180" t="s">
        <v>291</v>
      </c>
      <c r="V75" s="180" t="s">
        <v>538</v>
      </c>
      <c r="W75" s="180" t="s">
        <v>473</v>
      </c>
    </row>
    <row r="76" spans="1:23" ht="15.75" customHeight="1" x14ac:dyDescent="0.25">
      <c r="A76" s="693"/>
      <c r="B76" s="696"/>
      <c r="C76" s="185" t="s">
        <v>219</v>
      </c>
      <c r="D76" s="334" t="s">
        <v>294</v>
      </c>
      <c r="E76" s="335" t="s">
        <v>171</v>
      </c>
      <c r="F76" s="360"/>
      <c r="G76" s="360"/>
      <c r="H76" s="360"/>
      <c r="I76" s="360"/>
      <c r="J76" s="360"/>
      <c r="K76" s="360"/>
      <c r="L76" s="360"/>
      <c r="Q76" t="str">
        <f t="shared" si="1"/>
        <v>LOCTHFORMPCR</v>
      </c>
      <c r="R76" t="s">
        <v>542</v>
      </c>
      <c r="S76" t="s">
        <v>478</v>
      </c>
      <c r="U76" s="180" t="s">
        <v>298</v>
      </c>
      <c r="V76" s="180" t="s">
        <v>541</v>
      </c>
      <c r="W76" s="180" t="s">
        <v>477</v>
      </c>
    </row>
    <row r="77" spans="1:23" ht="15.75" customHeight="1" x14ac:dyDescent="0.25">
      <c r="A77" s="693"/>
      <c r="B77" s="697"/>
      <c r="C77" s="584" t="s">
        <v>680</v>
      </c>
      <c r="D77" s="585" t="s">
        <v>681</v>
      </c>
      <c r="E77" s="586" t="s">
        <v>171</v>
      </c>
      <c r="F77" s="360"/>
      <c r="G77" s="360"/>
      <c r="H77" s="360"/>
      <c r="I77" s="360"/>
      <c r="J77" s="360"/>
      <c r="K77" s="360"/>
      <c r="L77" s="360"/>
      <c r="Q77" t="str">
        <f t="shared" si="1"/>
        <v>LOCTHFORMOPR</v>
      </c>
      <c r="R77" t="s">
        <v>542</v>
      </c>
      <c r="S77" t="s">
        <v>478</v>
      </c>
      <c r="U77" s="180" t="s">
        <v>281</v>
      </c>
      <c r="V77" s="180" t="s">
        <v>538</v>
      </c>
      <c r="W77" s="180" t="s">
        <v>469</v>
      </c>
    </row>
    <row r="78" spans="1:23" ht="15.75" thickBot="1" x14ac:dyDescent="0.3">
      <c r="A78" s="693"/>
      <c r="B78" s="698"/>
      <c r="C78" s="203" t="s">
        <v>222</v>
      </c>
      <c r="D78" s="336" t="s">
        <v>297</v>
      </c>
      <c r="E78" s="337" t="s">
        <v>171</v>
      </c>
      <c r="F78" s="360"/>
      <c r="G78" s="360"/>
      <c r="H78" s="360"/>
      <c r="I78" s="360"/>
      <c r="J78" s="360"/>
      <c r="K78" s="360"/>
      <c r="L78" s="360"/>
      <c r="Q78" t="str">
        <f t="shared" si="1"/>
        <v>LOCTHTRANSPO</v>
      </c>
      <c r="R78" t="s">
        <v>542</v>
      </c>
      <c r="S78" t="s">
        <v>478</v>
      </c>
      <c r="U78" s="180" t="s">
        <v>295</v>
      </c>
      <c r="V78" s="180" t="s">
        <v>542</v>
      </c>
      <c r="W78" s="180" t="s">
        <v>478</v>
      </c>
    </row>
    <row r="79" spans="1:23" x14ac:dyDescent="0.25">
      <c r="A79" s="693"/>
      <c r="B79" s="695" t="s">
        <v>444</v>
      </c>
      <c r="C79" s="213" t="s">
        <v>195</v>
      </c>
      <c r="D79" s="338" t="s">
        <v>283</v>
      </c>
      <c r="E79" s="339" t="s">
        <v>171</v>
      </c>
      <c r="F79" s="360"/>
      <c r="G79" s="360"/>
      <c r="H79" s="360"/>
      <c r="I79" s="360"/>
      <c r="J79" s="360"/>
      <c r="K79" s="360"/>
      <c r="L79" s="360"/>
      <c r="Q79" t="str">
        <f t="shared" si="1"/>
        <v>LOCTHPROTECI</v>
      </c>
      <c r="R79" t="s">
        <v>542</v>
      </c>
      <c r="S79" t="s">
        <v>479</v>
      </c>
      <c r="U79" s="180" t="s">
        <v>282</v>
      </c>
      <c r="V79" s="180" t="s">
        <v>542</v>
      </c>
      <c r="W79" s="180" t="s">
        <v>479</v>
      </c>
    </row>
    <row r="80" spans="1:23" x14ac:dyDescent="0.25">
      <c r="A80" s="693"/>
      <c r="B80" s="696"/>
      <c r="C80" s="185" t="s">
        <v>196</v>
      </c>
      <c r="D80" s="334" t="s">
        <v>285</v>
      </c>
      <c r="E80" s="335" t="s">
        <v>171</v>
      </c>
      <c r="F80" s="360"/>
      <c r="G80" s="360"/>
      <c r="H80" s="360"/>
      <c r="I80" s="360"/>
      <c r="J80" s="360"/>
      <c r="K80" s="360"/>
      <c r="L80" s="360"/>
      <c r="Q80" t="str">
        <f t="shared" si="1"/>
        <v>LOCTHSURPEIN</v>
      </c>
      <c r="R80" t="s">
        <v>542</v>
      </c>
      <c r="S80" t="s">
        <v>479</v>
      </c>
      <c r="U80" s="180" t="s">
        <v>283</v>
      </c>
      <c r="V80" s="180" t="s">
        <v>542</v>
      </c>
      <c r="W80" s="180" t="s">
        <v>479</v>
      </c>
    </row>
    <row r="81" spans="1:23" x14ac:dyDescent="0.25">
      <c r="A81" s="693"/>
      <c r="B81" s="696"/>
      <c r="C81" s="185" t="s">
        <v>194</v>
      </c>
      <c r="D81" s="334" t="s">
        <v>282</v>
      </c>
      <c r="E81" s="335" t="s">
        <v>171</v>
      </c>
      <c r="F81" s="360"/>
      <c r="G81" s="360"/>
      <c r="H81" s="360"/>
      <c r="I81" s="360"/>
      <c r="J81" s="360"/>
      <c r="K81" s="360"/>
      <c r="L81" s="360"/>
      <c r="Q81" t="str">
        <f t="shared" si="1"/>
        <v>LOCTHPROSURN</v>
      </c>
      <c r="R81" t="s">
        <v>542</v>
      </c>
      <c r="S81" t="s">
        <v>479</v>
      </c>
      <c r="U81" s="180" t="s">
        <v>287</v>
      </c>
      <c r="V81" s="180" t="s">
        <v>539</v>
      </c>
      <c r="W81" s="180" t="s">
        <v>474</v>
      </c>
    </row>
    <row r="82" spans="1:23" ht="15.75" customHeight="1" x14ac:dyDescent="0.25">
      <c r="A82" s="693"/>
      <c r="B82" s="696"/>
      <c r="C82" s="185" t="s">
        <v>445</v>
      </c>
      <c r="D82" s="334" t="s">
        <v>284</v>
      </c>
      <c r="E82" s="335" t="s">
        <v>171</v>
      </c>
      <c r="F82" s="360"/>
      <c r="G82" s="360"/>
      <c r="H82" s="360"/>
      <c r="I82" s="360"/>
      <c r="J82" s="360"/>
      <c r="K82" s="360"/>
      <c r="L82" s="360"/>
      <c r="Q82" t="str">
        <f t="shared" si="1"/>
        <v>LOCTHSECCONV</v>
      </c>
      <c r="R82" t="s">
        <v>542</v>
      </c>
      <c r="S82" t="s">
        <v>479</v>
      </c>
      <c r="U82" s="180" t="s">
        <v>288</v>
      </c>
      <c r="V82" s="180" t="s">
        <v>539</v>
      </c>
      <c r="W82" s="180" t="s">
        <v>474</v>
      </c>
    </row>
    <row r="83" spans="1:23" s="177" customFormat="1" ht="15.75" thickBot="1" x14ac:dyDescent="0.3">
      <c r="A83" s="693"/>
      <c r="B83" s="698"/>
      <c r="C83" s="203" t="s">
        <v>226</v>
      </c>
      <c r="D83" s="336" t="s">
        <v>299</v>
      </c>
      <c r="E83" s="337" t="s">
        <v>171</v>
      </c>
      <c r="F83" s="360"/>
      <c r="G83" s="360"/>
      <c r="H83" s="360"/>
      <c r="I83" s="360"/>
      <c r="J83" s="360"/>
      <c r="K83" s="360"/>
      <c r="L83" s="360"/>
      <c r="M83"/>
      <c r="N83"/>
      <c r="O83"/>
      <c r="P83"/>
      <c r="Q83" t="str">
        <f t="shared" si="1"/>
        <v>LOCTHENVTRAV</v>
      </c>
      <c r="R83" t="s">
        <v>542</v>
      </c>
      <c r="S83" t="s">
        <v>479</v>
      </c>
      <c r="U83" s="180" t="s">
        <v>296</v>
      </c>
      <c r="V83" s="180" t="s">
        <v>542</v>
      </c>
      <c r="W83" s="180" t="s">
        <v>478</v>
      </c>
    </row>
    <row r="84" spans="1:23" ht="15" customHeight="1" x14ac:dyDescent="0.25">
      <c r="A84" s="693"/>
      <c r="B84" s="695" t="s">
        <v>446</v>
      </c>
      <c r="C84" s="202" t="s">
        <v>185</v>
      </c>
      <c r="D84" s="330" t="s">
        <v>314</v>
      </c>
      <c r="E84" s="331" t="s">
        <v>242</v>
      </c>
      <c r="F84" s="359"/>
      <c r="G84" s="359"/>
      <c r="H84" s="359"/>
      <c r="I84" s="359"/>
      <c r="J84" s="359"/>
      <c r="K84" s="359"/>
      <c r="L84" s="359"/>
      <c r="Q84" t="str">
        <f t="shared" si="1"/>
        <v>LOCFORMDIMEX</v>
      </c>
      <c r="R84" t="s">
        <v>542</v>
      </c>
      <c r="S84" t="s">
        <v>480</v>
      </c>
      <c r="U84" s="180" t="s">
        <v>275</v>
      </c>
      <c r="V84" s="180" t="s">
        <v>538</v>
      </c>
      <c r="W84" s="180" t="s">
        <v>468</v>
      </c>
    </row>
    <row r="85" spans="1:23" x14ac:dyDescent="0.25">
      <c r="A85" s="693"/>
      <c r="B85" s="696"/>
      <c r="C85" s="185" t="s">
        <v>184</v>
      </c>
      <c r="D85" s="334" t="s">
        <v>274</v>
      </c>
      <c r="E85" s="335" t="s">
        <v>171</v>
      </c>
      <c r="F85" s="360"/>
      <c r="G85" s="360"/>
      <c r="H85" s="360"/>
      <c r="I85" s="360"/>
      <c r="J85" s="360"/>
      <c r="K85" s="360"/>
      <c r="L85" s="360"/>
      <c r="Q85" t="str">
        <f t="shared" si="1"/>
        <v>LOCTHDETECME</v>
      </c>
      <c r="R85" t="s">
        <v>542</v>
      </c>
      <c r="S85" t="s">
        <v>480</v>
      </c>
      <c r="U85" s="180" t="s">
        <v>264</v>
      </c>
      <c r="V85" s="180" t="s">
        <v>538</v>
      </c>
      <c r="W85" s="180" t="s">
        <v>467</v>
      </c>
    </row>
    <row r="86" spans="1:23" x14ac:dyDescent="0.25">
      <c r="A86" s="693"/>
      <c r="B86" s="696"/>
      <c r="C86" s="185" t="s">
        <v>188</v>
      </c>
      <c r="D86" s="334" t="s">
        <v>276</v>
      </c>
      <c r="E86" s="335" t="s">
        <v>171</v>
      </c>
      <c r="F86" s="360"/>
      <c r="G86" s="360"/>
      <c r="H86" s="360"/>
      <c r="I86" s="360"/>
      <c r="J86" s="360"/>
      <c r="K86" s="360"/>
      <c r="L86" s="360"/>
      <c r="Q86" t="str">
        <f t="shared" si="1"/>
        <v>LOCTHSTATMES</v>
      </c>
      <c r="R86" t="s">
        <v>542</v>
      </c>
      <c r="S86" t="s">
        <v>480</v>
      </c>
      <c r="U86" s="180" t="s">
        <v>265</v>
      </c>
      <c r="V86" s="180" t="s">
        <v>538</v>
      </c>
      <c r="W86" s="180" t="s">
        <v>467</v>
      </c>
    </row>
    <row r="87" spans="1:23" ht="16.5" customHeight="1" x14ac:dyDescent="0.25">
      <c r="A87" s="693"/>
      <c r="B87" s="696"/>
      <c r="C87" s="185" t="s">
        <v>193</v>
      </c>
      <c r="D87" s="334" t="s">
        <v>280</v>
      </c>
      <c r="E87" s="335" t="s">
        <v>171</v>
      </c>
      <c r="F87" s="360"/>
      <c r="G87" s="360"/>
      <c r="H87" s="360"/>
      <c r="I87" s="360"/>
      <c r="J87" s="360"/>
      <c r="K87" s="360"/>
      <c r="L87" s="360"/>
      <c r="Q87" t="str">
        <f t="shared" si="1"/>
        <v>LOCTHIMPACTS</v>
      </c>
      <c r="R87" t="s">
        <v>542</v>
      </c>
      <c r="S87" t="s">
        <v>480</v>
      </c>
      <c r="U87" s="180" t="s">
        <v>284</v>
      </c>
      <c r="V87" s="180" t="s">
        <v>542</v>
      </c>
      <c r="W87" s="180" t="s">
        <v>479</v>
      </c>
    </row>
    <row r="88" spans="1:23" ht="16.5" customHeight="1" thickBot="1" x14ac:dyDescent="0.3">
      <c r="A88" s="694"/>
      <c r="B88" s="698"/>
      <c r="C88" s="203" t="s">
        <v>179</v>
      </c>
      <c r="D88" s="336" t="s">
        <v>270</v>
      </c>
      <c r="E88" s="337" t="s">
        <v>171</v>
      </c>
      <c r="F88" s="360"/>
      <c r="G88" s="360"/>
      <c r="H88" s="360"/>
      <c r="I88" s="360"/>
      <c r="J88" s="360"/>
      <c r="K88" s="360"/>
      <c r="L88" s="360"/>
      <c r="Q88" t="str">
        <f t="shared" si="1"/>
        <v>LOCTHSURVINE</v>
      </c>
      <c r="R88" t="s">
        <v>542</v>
      </c>
      <c r="S88" t="s">
        <v>480</v>
      </c>
      <c r="U88" s="180" t="s">
        <v>266</v>
      </c>
      <c r="V88" s="180" t="s">
        <v>538</v>
      </c>
      <c r="W88" s="180" t="s">
        <v>472</v>
      </c>
    </row>
    <row r="89" spans="1:23" ht="15.75" thickBot="1" x14ac:dyDescent="0.3">
      <c r="A89" s="686" t="s">
        <v>508</v>
      </c>
      <c r="B89" s="340" t="s">
        <v>549</v>
      </c>
      <c r="C89" s="635" t="s">
        <v>702</v>
      </c>
      <c r="D89" s="636" t="s">
        <v>703</v>
      </c>
      <c r="E89" s="637" t="s">
        <v>171</v>
      </c>
      <c r="F89" s="363"/>
      <c r="G89" s="363"/>
      <c r="H89" s="363"/>
      <c r="I89" s="363"/>
      <c r="J89" s="363"/>
      <c r="K89" s="363"/>
      <c r="L89" s="363"/>
      <c r="Q89" s="638" t="str">
        <f t="shared" si="1"/>
        <v>LOCTHMANPROJ</v>
      </c>
      <c r="R89" t="s">
        <v>543</v>
      </c>
      <c r="S89" t="s">
        <v>558</v>
      </c>
      <c r="U89" s="180" t="s">
        <v>267</v>
      </c>
      <c r="V89" s="180" t="s">
        <v>538</v>
      </c>
      <c r="W89" s="180" t="s">
        <v>472</v>
      </c>
    </row>
    <row r="90" spans="1:23" x14ac:dyDescent="0.25">
      <c r="A90" s="687"/>
      <c r="B90" s="689" t="s">
        <v>550</v>
      </c>
      <c r="C90" s="341" t="s">
        <v>241</v>
      </c>
      <c r="D90" s="342" t="s">
        <v>343</v>
      </c>
      <c r="E90" s="343" t="s">
        <v>242</v>
      </c>
      <c r="F90" s="364"/>
      <c r="G90" s="364"/>
      <c r="H90" s="364"/>
      <c r="I90" s="364"/>
      <c r="J90" s="364"/>
      <c r="K90" s="364"/>
      <c r="L90" s="364"/>
      <c r="Q90" t="str">
        <f t="shared" si="1"/>
        <v>LOCFORMDMTIX</v>
      </c>
      <c r="R90" t="s">
        <v>543</v>
      </c>
      <c r="S90" t="s">
        <v>559</v>
      </c>
      <c r="U90" s="180" t="s">
        <v>276</v>
      </c>
      <c r="V90" s="180" t="s">
        <v>542</v>
      </c>
      <c r="W90" s="180" t="s">
        <v>480</v>
      </c>
    </row>
    <row r="91" spans="1:23" x14ac:dyDescent="0.25">
      <c r="A91" s="687"/>
      <c r="B91" s="690"/>
      <c r="C91" s="344" t="s">
        <v>551</v>
      </c>
      <c r="D91" s="345" t="s">
        <v>552</v>
      </c>
      <c r="E91" s="346" t="s">
        <v>171</v>
      </c>
      <c r="F91" s="360"/>
      <c r="G91" s="360"/>
      <c r="H91" s="360"/>
      <c r="I91" s="360"/>
      <c r="J91" s="360"/>
      <c r="K91" s="360"/>
      <c r="L91" s="360"/>
      <c r="Q91" t="str">
        <f t="shared" si="1"/>
        <v>LOCTHGESCONN</v>
      </c>
      <c r="R91" t="s">
        <v>543</v>
      </c>
      <c r="S91" t="s">
        <v>559</v>
      </c>
      <c r="U91" s="180" t="s">
        <v>307</v>
      </c>
      <c r="V91" s="180" t="s">
        <v>544</v>
      </c>
      <c r="W91" s="180" t="s">
        <v>482</v>
      </c>
    </row>
    <row r="92" spans="1:23" ht="15" customHeight="1" x14ac:dyDescent="0.25">
      <c r="A92" s="687"/>
      <c r="B92" s="690"/>
      <c r="C92" s="344" t="s">
        <v>379</v>
      </c>
      <c r="D92" s="345" t="s">
        <v>553</v>
      </c>
      <c r="E92" s="346" t="s">
        <v>171</v>
      </c>
      <c r="F92" s="360"/>
      <c r="G92" s="360"/>
      <c r="H92" s="360"/>
      <c r="I92" s="360"/>
      <c r="J92" s="360"/>
      <c r="K92" s="360"/>
      <c r="L92" s="360"/>
      <c r="Q92" t="str">
        <f t="shared" si="1"/>
        <v>LOCTHINGDIGI</v>
      </c>
      <c r="R92" t="s">
        <v>543</v>
      </c>
      <c r="S92" t="s">
        <v>559</v>
      </c>
      <c r="U92" s="215" t="s">
        <v>285</v>
      </c>
      <c r="V92" s="180" t="s">
        <v>542</v>
      </c>
      <c r="W92" s="180" t="s">
        <v>479</v>
      </c>
    </row>
    <row r="93" spans="1:23" ht="15" customHeight="1" x14ac:dyDescent="0.25">
      <c r="A93" s="687"/>
      <c r="B93" s="690"/>
      <c r="C93" s="344" t="s">
        <v>554</v>
      </c>
      <c r="D93" s="345" t="s">
        <v>555</v>
      </c>
      <c r="E93" s="346" t="s">
        <v>171</v>
      </c>
      <c r="F93" s="360"/>
      <c r="G93" s="360"/>
      <c r="H93" s="360"/>
      <c r="I93" s="360"/>
      <c r="J93" s="360"/>
      <c r="K93" s="360"/>
      <c r="L93" s="360"/>
      <c r="Q93" t="str">
        <f t="shared" si="1"/>
        <v>LOCTHCONPEDA</v>
      </c>
      <c r="R93" t="s">
        <v>543</v>
      </c>
      <c r="S93" t="s">
        <v>559</v>
      </c>
      <c r="U93" s="180" t="s">
        <v>270</v>
      </c>
      <c r="V93" s="180" t="s">
        <v>542</v>
      </c>
      <c r="W93" s="180" t="s">
        <v>480</v>
      </c>
    </row>
    <row r="94" spans="1:23" ht="15" customHeight="1" thickBot="1" x14ac:dyDescent="0.3">
      <c r="A94" s="688"/>
      <c r="B94" s="691"/>
      <c r="C94" s="347" t="s">
        <v>556</v>
      </c>
      <c r="D94" s="348" t="s">
        <v>557</v>
      </c>
      <c r="E94" s="349" t="s">
        <v>171</v>
      </c>
      <c r="F94" s="360"/>
      <c r="G94" s="360"/>
      <c r="H94" s="360"/>
      <c r="I94" s="360"/>
      <c r="J94" s="360"/>
      <c r="K94" s="360"/>
      <c r="L94" s="360"/>
      <c r="Q94" t="str">
        <f t="shared" si="1"/>
        <v>LOCTHGESINNO</v>
      </c>
      <c r="R94" t="s">
        <v>543</v>
      </c>
      <c r="S94" t="s">
        <v>559</v>
      </c>
      <c r="U94" s="180" t="s">
        <v>268</v>
      </c>
      <c r="V94" s="180" t="s">
        <v>538</v>
      </c>
      <c r="W94" s="180" t="s">
        <v>472</v>
      </c>
    </row>
    <row r="95" spans="1:23" ht="30" x14ac:dyDescent="0.25">
      <c r="A95" s="674" t="s">
        <v>447</v>
      </c>
      <c r="B95" s="350" t="s">
        <v>240</v>
      </c>
      <c r="C95" s="204" t="s">
        <v>448</v>
      </c>
      <c r="D95" s="351" t="s">
        <v>306</v>
      </c>
      <c r="E95" s="352" t="s">
        <v>171</v>
      </c>
      <c r="F95" s="360"/>
      <c r="G95" s="360"/>
      <c r="H95" s="360"/>
      <c r="I95" s="360"/>
      <c r="J95" s="360"/>
      <c r="K95" s="360"/>
      <c r="L95" s="360"/>
      <c r="Q95" t="str">
        <f t="shared" si="1"/>
        <v>LOCTHFCSFRES</v>
      </c>
      <c r="R95" t="s">
        <v>544</v>
      </c>
      <c r="S95" t="s">
        <v>481</v>
      </c>
      <c r="U95" s="180" t="s">
        <v>301</v>
      </c>
      <c r="V95" s="180" t="s">
        <v>541</v>
      </c>
      <c r="W95" s="180" t="s">
        <v>476</v>
      </c>
    </row>
    <row r="96" spans="1:23" ht="15" customHeight="1" x14ac:dyDescent="0.25">
      <c r="A96" s="675"/>
      <c r="B96" s="353" t="s">
        <v>449</v>
      </c>
      <c r="C96" s="183" t="s">
        <v>450</v>
      </c>
      <c r="D96" s="354" t="s">
        <v>307</v>
      </c>
      <c r="E96" s="355" t="s">
        <v>171</v>
      </c>
      <c r="F96" s="360"/>
      <c r="G96" s="360"/>
      <c r="H96" s="360"/>
      <c r="I96" s="360"/>
      <c r="J96" s="360"/>
      <c r="K96" s="360"/>
      <c r="L96" s="360"/>
      <c r="Q96" t="str">
        <f t="shared" si="1"/>
        <v>LOCTHSUPFORM</v>
      </c>
      <c r="R96" t="s">
        <v>544</v>
      </c>
      <c r="S96" t="s">
        <v>482</v>
      </c>
      <c r="U96" s="180" t="s">
        <v>292</v>
      </c>
      <c r="V96" s="180" t="s">
        <v>538</v>
      </c>
      <c r="W96" s="180" t="s">
        <v>466</v>
      </c>
    </row>
    <row r="97" spans="1:23" ht="15.75" thickBot="1" x14ac:dyDescent="0.3">
      <c r="A97" s="676"/>
      <c r="B97" s="356" t="s">
        <v>464</v>
      </c>
      <c r="C97" s="270" t="s">
        <v>197</v>
      </c>
      <c r="D97" s="357" t="s">
        <v>317</v>
      </c>
      <c r="E97" s="358" t="s">
        <v>242</v>
      </c>
      <c r="F97" s="362"/>
      <c r="G97" s="362"/>
      <c r="H97" s="362"/>
      <c r="I97" s="362"/>
      <c r="J97" s="362"/>
      <c r="K97" s="362"/>
      <c r="L97" s="362"/>
      <c r="Q97" t="str">
        <f t="shared" si="1"/>
        <v>LOCFORMDSPFX</v>
      </c>
      <c r="R97" t="s">
        <v>544</v>
      </c>
      <c r="S97" t="s">
        <v>545</v>
      </c>
      <c r="U97" s="180" t="s">
        <v>297</v>
      </c>
      <c r="V97" s="180" t="s">
        <v>542</v>
      </c>
      <c r="W97" s="180" t="s">
        <v>478</v>
      </c>
    </row>
    <row r="98" spans="1:23" x14ac:dyDescent="0.25">
      <c r="F98" s="365"/>
      <c r="G98" s="365"/>
      <c r="H98" s="365"/>
      <c r="I98" s="365"/>
      <c r="J98" s="365"/>
      <c r="K98" s="365"/>
      <c r="L98" s="365"/>
      <c r="U98" s="639"/>
      <c r="V98" s="639"/>
      <c r="W98" s="639"/>
    </row>
  </sheetData>
  <sheetProtection sheet="1" objects="1" scenarios="1"/>
  <sortState xmlns:xlrd2="http://schemas.microsoft.com/office/spreadsheetml/2017/richdata2" ref="U4:W94">
    <sortCondition ref="U4:U94"/>
  </sortState>
  <mergeCells count="24">
    <mergeCell ref="A95:A97"/>
    <mergeCell ref="B49:B57"/>
    <mergeCell ref="A58:A64"/>
    <mergeCell ref="B58:B59"/>
    <mergeCell ref="B60:B64"/>
    <mergeCell ref="A89:A94"/>
    <mergeCell ref="B90:B94"/>
    <mergeCell ref="A65:A88"/>
    <mergeCell ref="B65:B78"/>
    <mergeCell ref="B79:B83"/>
    <mergeCell ref="B84:B88"/>
    <mergeCell ref="A39:A48"/>
    <mergeCell ref="B39:B48"/>
    <mergeCell ref="A49:A57"/>
    <mergeCell ref="A1:B1"/>
    <mergeCell ref="B4:B7"/>
    <mergeCell ref="A4:A38"/>
    <mergeCell ref="B8:B11"/>
    <mergeCell ref="B12:B14"/>
    <mergeCell ref="B15:B20"/>
    <mergeCell ref="B21:B25"/>
    <mergeCell ref="B26:B32"/>
    <mergeCell ref="B33:B35"/>
    <mergeCell ref="B37:B38"/>
  </mergeCells>
  <hyperlinks>
    <hyperlink ref="A1" r:id="rId1" xr:uid="{00000000-0004-0000-0200-000000000000}"/>
  </hyperlinks>
  <pageMargins left="0.23622047244094491" right="0.23622047244094491" top="0.59055118110236227" bottom="0.47244094488188981" header="0.31496062992125984" footer="0.23622047244094491"/>
  <pageSetup paperSize="9" scale="67" fitToHeight="0" orientation="portrait" r:id="rId2"/>
  <rowBreaks count="1" manualBreakCount="1">
    <brk id="58"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pageSetUpPr fitToPage="1"/>
  </sheetPr>
  <dimension ref="A1:P148"/>
  <sheetViews>
    <sheetView showGridLines="0" zoomScale="85" zoomScaleNormal="85" workbookViewId="0">
      <selection activeCell="J22" sqref="J22"/>
    </sheetView>
  </sheetViews>
  <sheetFormatPr baseColWidth="10" defaultColWidth="11.5703125" defaultRowHeight="15" x14ac:dyDescent="0.25"/>
  <cols>
    <col min="1" max="1" width="17.28515625" style="1" customWidth="1"/>
    <col min="2" max="2" width="55.28515625" style="1" customWidth="1"/>
    <col min="3" max="3" width="14" style="1" customWidth="1"/>
    <col min="4" max="4" width="14.85546875" style="1" customWidth="1"/>
    <col min="5" max="8" width="11.5703125" style="1"/>
    <col min="9" max="9" width="13.140625" style="1" customWidth="1"/>
    <col min="10" max="10" width="16.5703125" style="1" customWidth="1"/>
    <col min="11" max="11" width="14.28515625" style="1" customWidth="1"/>
    <col min="12" max="12" width="16" style="1" customWidth="1"/>
    <col min="13" max="13" width="18.42578125" style="1" customWidth="1"/>
    <col min="14" max="14" width="15.28515625" style="1" customWidth="1"/>
    <col min="15" max="15" width="16.140625" style="1" customWidth="1"/>
    <col min="16" max="16" width="49.42578125" style="1" customWidth="1"/>
    <col min="17" max="17" width="12.5703125" style="1" customWidth="1"/>
    <col min="18" max="18" width="18.7109375" style="1" customWidth="1"/>
    <col min="19" max="19" width="12.7109375" style="1" customWidth="1"/>
    <col min="20" max="20" width="13.28515625" style="1" customWidth="1"/>
    <col min="21" max="16384" width="11.5703125" style="1"/>
  </cols>
  <sheetData>
    <row r="1" spans="1:16" ht="31.5" customHeight="1" x14ac:dyDescent="0.25">
      <c r="A1" s="750" t="s">
        <v>706</v>
      </c>
      <c r="B1" s="750"/>
      <c r="C1" s="750"/>
      <c r="D1" s="750"/>
      <c r="E1" s="750"/>
      <c r="F1" s="750"/>
      <c r="G1" s="750"/>
      <c r="H1" s="750"/>
      <c r="I1" s="750"/>
      <c r="J1" s="750"/>
      <c r="K1" s="750"/>
      <c r="L1" s="750"/>
      <c r="M1" s="750"/>
      <c r="N1" s="750"/>
    </row>
    <row r="2" spans="1:16" ht="15" customHeight="1" x14ac:dyDescent="0.25">
      <c r="A2" s="791" t="s">
        <v>629</v>
      </c>
      <c r="B2" s="791"/>
      <c r="C2" s="791"/>
      <c r="D2" s="791"/>
      <c r="E2" s="791"/>
      <c r="F2" s="791"/>
      <c r="G2" s="791"/>
      <c r="H2" s="791"/>
      <c r="I2" s="791"/>
      <c r="J2" s="791"/>
      <c r="K2" s="791"/>
      <c r="L2" s="791"/>
      <c r="M2" s="791"/>
      <c r="N2" s="791"/>
      <c r="O2" s="93"/>
    </row>
    <row r="3" spans="1:16" ht="15" customHeight="1" x14ac:dyDescent="0.25">
      <c r="A3" s="609"/>
      <c r="B3" s="609"/>
      <c r="C3" s="609"/>
      <c r="D3" s="609"/>
      <c r="E3" s="609"/>
      <c r="F3" s="609"/>
      <c r="G3" s="609"/>
      <c r="H3" s="609"/>
      <c r="I3" s="609"/>
      <c r="J3" s="609"/>
      <c r="K3" s="609"/>
      <c r="L3" s="609"/>
      <c r="M3" s="609"/>
      <c r="N3" s="609"/>
      <c r="O3" s="93"/>
    </row>
    <row r="4" spans="1:16" ht="15.75" thickBot="1" x14ac:dyDescent="0.3"/>
    <row r="5" spans="1:16" ht="60.75" thickBot="1" x14ac:dyDescent="0.3">
      <c r="B5" s="101" t="s">
        <v>144</v>
      </c>
      <c r="C5" s="805" t="s">
        <v>707</v>
      </c>
      <c r="D5" s="806"/>
      <c r="E5" s="806"/>
      <c r="F5" s="807"/>
      <c r="J5" s="376" t="s">
        <v>635</v>
      </c>
      <c r="K5" s="377" t="s">
        <v>506</v>
      </c>
      <c r="L5" s="377" t="s">
        <v>636</v>
      </c>
      <c r="M5" s="377" t="str">
        <f>CONCATENATE("Prix de vente hors CEA préconisé avec taux de marge de ",C19*100,"%")</f>
        <v>Prix de vente hors CEA préconisé avec taux de marge de 10%</v>
      </c>
      <c r="N5" s="378" t="s">
        <v>575</v>
      </c>
    </row>
    <row r="6" spans="1:16" ht="15" customHeight="1" x14ac:dyDescent="0.25">
      <c r="B6" s="792" t="s">
        <v>691</v>
      </c>
      <c r="C6" s="794">
        <f>IF(I57=0,1,I57)</f>
        <v>1</v>
      </c>
      <c r="D6" s="721" t="s">
        <v>692</v>
      </c>
      <c r="E6" s="722"/>
      <c r="F6" s="722"/>
      <c r="G6" s="711" t="s">
        <v>528</v>
      </c>
      <c r="H6" s="712"/>
      <c r="I6" s="712"/>
      <c r="J6" s="568">
        <f>J13*C20</f>
        <v>10884</v>
      </c>
      <c r="K6" s="569"/>
      <c r="L6" s="568">
        <f>L13*C20</f>
        <v>17316</v>
      </c>
      <c r="M6" s="568">
        <f>M13*C20</f>
        <v>19044</v>
      </c>
      <c r="N6" s="568">
        <f>N13*C20</f>
        <v>12612</v>
      </c>
      <c r="O6" s="709" t="s">
        <v>535</v>
      </c>
    </row>
    <row r="7" spans="1:16" ht="15" customHeight="1" thickBot="1" x14ac:dyDescent="0.3">
      <c r="B7" s="793"/>
      <c r="C7" s="795"/>
      <c r="D7" s="723"/>
      <c r="E7" s="724"/>
      <c r="F7" s="724"/>
      <c r="G7" s="716" t="s">
        <v>529</v>
      </c>
      <c r="H7" s="717"/>
      <c r="I7" s="718"/>
      <c r="J7" s="570">
        <f>J6-J12*C21</f>
        <v>0</v>
      </c>
      <c r="K7" s="571"/>
      <c r="L7" s="570">
        <f>L6-J12*C21</f>
        <v>6432</v>
      </c>
      <c r="M7" s="570">
        <f>M6-J12*C21</f>
        <v>8160</v>
      </c>
      <c r="N7" s="570">
        <f>N6-J12*C21</f>
        <v>1728</v>
      </c>
      <c r="O7" s="710"/>
    </row>
    <row r="8" spans="1:16" ht="15" customHeight="1" x14ac:dyDescent="0.25">
      <c r="B8" s="80" t="s">
        <v>129</v>
      </c>
      <c r="C8" s="379" t="s">
        <v>708</v>
      </c>
      <c r="D8" s="725"/>
      <c r="E8" s="726"/>
      <c r="F8" s="726"/>
      <c r="G8" s="727" t="s">
        <v>530</v>
      </c>
      <c r="H8" s="728"/>
      <c r="I8" s="729"/>
      <c r="J8" s="572">
        <f>J12-J11</f>
        <v>4947</v>
      </c>
      <c r="K8" s="572">
        <f>K12-K11</f>
        <v>7080</v>
      </c>
      <c r="L8" s="572">
        <f>L12-L11</f>
        <v>7871</v>
      </c>
      <c r="M8" s="572">
        <f>M12-M11</f>
        <v>8656</v>
      </c>
      <c r="N8" s="572">
        <f>N12-N11</f>
        <v>6306</v>
      </c>
      <c r="O8" s="709" t="s">
        <v>536</v>
      </c>
    </row>
    <row r="9" spans="1:16" ht="15" customHeight="1" x14ac:dyDescent="0.25">
      <c r="B9" s="5" t="s">
        <v>131</v>
      </c>
      <c r="C9" s="380">
        <v>1999</v>
      </c>
      <c r="G9" s="811" t="s">
        <v>133</v>
      </c>
      <c r="H9" s="812"/>
      <c r="I9" s="813"/>
      <c r="J9" s="573">
        <f>J8-J10</f>
        <v>3221.94</v>
      </c>
      <c r="K9" s="573">
        <f>K8-K10</f>
        <v>5478</v>
      </c>
      <c r="L9" s="573">
        <f>L8-L10</f>
        <v>6090.7380800000001</v>
      </c>
      <c r="M9" s="573">
        <f>M8-M10</f>
        <v>6697.7118879999998</v>
      </c>
      <c r="N9" s="573">
        <f>N8-N10</f>
        <v>4080.6725999999999</v>
      </c>
      <c r="O9" s="730"/>
    </row>
    <row r="10" spans="1:16" ht="15" customHeight="1" x14ac:dyDescent="0.25">
      <c r="B10" s="5" t="s">
        <v>524</v>
      </c>
      <c r="C10" s="719" t="s">
        <v>709</v>
      </c>
      <c r="D10" s="720"/>
      <c r="G10" s="811" t="s">
        <v>132</v>
      </c>
      <c r="H10" s="812"/>
      <c r="I10" s="813"/>
      <c r="J10" s="573">
        <f>K87+K88+K89+K90+K91+K92+K93+K94+K95</f>
        <v>1725.06</v>
      </c>
      <c r="K10" s="573">
        <f>ROUND(L10*0.9,0)</f>
        <v>1602</v>
      </c>
      <c r="L10" s="573">
        <f>L87+L88+L89+L90+L91+L92+L93+L94+L95</f>
        <v>1780.2619199999999</v>
      </c>
      <c r="M10" s="573">
        <f>L10*(1+C19)</f>
        <v>1958.288112</v>
      </c>
      <c r="N10" s="573">
        <f>N87+N88+N89+N90+N91+N92+N93+N94+N95</f>
        <v>2225.3274000000001</v>
      </c>
      <c r="O10" s="730"/>
    </row>
    <row r="11" spans="1:16" ht="15" customHeight="1" thickBot="1" x14ac:dyDescent="0.3">
      <c r="B11" s="5" t="s">
        <v>139</v>
      </c>
      <c r="C11" s="381">
        <v>3</v>
      </c>
      <c r="G11" s="817" t="s">
        <v>602</v>
      </c>
      <c r="H11" s="818"/>
      <c r="I11" s="819"/>
      <c r="J11" s="583">
        <f>ROUND(J12-J12/1.1,0)</f>
        <v>495</v>
      </c>
      <c r="K11" s="583">
        <f>ROUND(K12-K12/1.1,0)</f>
        <v>708</v>
      </c>
      <c r="L11" s="583">
        <f>ROUND(L12-L12/1.1,0)</f>
        <v>787</v>
      </c>
      <c r="M11" s="583">
        <f>ROUND(M12-M12/1.1,0)</f>
        <v>866</v>
      </c>
      <c r="N11" s="618">
        <v>0</v>
      </c>
      <c r="O11" s="730"/>
    </row>
    <row r="12" spans="1:16" ht="15" customHeight="1" thickTop="1" thickBot="1" x14ac:dyDescent="0.3">
      <c r="B12" s="5" t="s">
        <v>140</v>
      </c>
      <c r="C12" s="707" t="s">
        <v>710</v>
      </c>
      <c r="D12" s="708"/>
      <c r="G12" s="814" t="s">
        <v>531</v>
      </c>
      <c r="H12" s="815"/>
      <c r="I12" s="816"/>
      <c r="J12" s="624">
        <f>ROUND(K35*1.1/C17,0)*C17</f>
        <v>5442</v>
      </c>
      <c r="K12" s="624">
        <f>ROUND(L35*1.1*0.9/C17,0)*C17</f>
        <v>7788</v>
      </c>
      <c r="L12" s="624">
        <f>ROUND(L35*1.1/C17,0)*C17</f>
        <v>8658</v>
      </c>
      <c r="M12" s="624">
        <f>ROUND(L35*1.1*(1+C19)/C17,0)*C17</f>
        <v>9522</v>
      </c>
      <c r="N12" s="625">
        <f>ROUND(N35/C17,0)*C17</f>
        <v>6306</v>
      </c>
      <c r="O12" s="731"/>
      <c r="P12" s="626" t="s">
        <v>694</v>
      </c>
    </row>
    <row r="13" spans="1:16" ht="15" customHeight="1" thickTop="1" x14ac:dyDescent="0.25">
      <c r="B13" s="103" t="s">
        <v>423</v>
      </c>
      <c r="C13" s="775" t="s">
        <v>272</v>
      </c>
      <c r="D13" s="776"/>
      <c r="E13" s="777"/>
      <c r="G13" s="820" t="s">
        <v>532</v>
      </c>
      <c r="H13" s="821"/>
      <c r="I13" s="822"/>
      <c r="J13" s="619">
        <f>ROUND(J12/C17,0)</f>
        <v>907</v>
      </c>
      <c r="K13" s="619">
        <f>ROUND(K12/C17,0)</f>
        <v>1298</v>
      </c>
      <c r="L13" s="619">
        <f>ROUND(L12/C17,0)</f>
        <v>1443</v>
      </c>
      <c r="M13" s="619">
        <f>ROUND(M12/C17,0)</f>
        <v>1587</v>
      </c>
      <c r="N13" s="619">
        <f>ROUND(N12/C17,0)</f>
        <v>1051</v>
      </c>
      <c r="O13" s="730"/>
    </row>
    <row r="14" spans="1:16" ht="15" customHeight="1" x14ac:dyDescent="0.25">
      <c r="B14" s="143" t="s">
        <v>547</v>
      </c>
      <c r="C14" s="366" t="str">
        <f>IF(C13="Si OS spécifique : à saisir en D16","Aucun",VLOOKUP(C13,'Table FD&amp;FC'!U4:V98,2,FALSE))</f>
        <v>PROG01</v>
      </c>
      <c r="D14" s="774" t="s">
        <v>243</v>
      </c>
      <c r="E14" s="774"/>
      <c r="G14" s="713" t="s">
        <v>533</v>
      </c>
      <c r="H14" s="714"/>
      <c r="I14" s="715"/>
      <c r="J14" s="580">
        <f>IF(OR(LEFT(C10,2)="FC",LEFT(C10,2)="Ce"),ROUND(J12/C11,0),"Non applicable")</f>
        <v>1814</v>
      </c>
      <c r="K14" s="580">
        <f>IF(OR(LEFT(C10,2)="FC",LEFT(C10,2)="Ce"),ROUND(K12/C11,0),"Non applicable")</f>
        <v>2596</v>
      </c>
      <c r="L14" s="580">
        <f>IF(OR(LEFT(C10,2)="FC",LEFT(C10,2)="Ce"),ROUND(L12/C11,0),"Non applicable")</f>
        <v>2886</v>
      </c>
      <c r="M14" s="580">
        <f>IF(OR(LEFT(C10,2)="FC",LEFT(C10,2)="Ce"),ROUND(M12/C11,0),"Non applicable")</f>
        <v>3174</v>
      </c>
      <c r="N14" s="580">
        <f>IF(OR(LEFT(C10,2)="FC",LEFT(C10,2)="Ce"),ROUND(N12/C11,0),"Non applicable")</f>
        <v>2102</v>
      </c>
      <c r="O14" s="730"/>
    </row>
    <row r="15" spans="1:16" ht="15" customHeight="1" x14ac:dyDescent="0.25">
      <c r="B15" s="143" t="s">
        <v>546</v>
      </c>
      <c r="C15" s="366" t="str">
        <f>IF(C13="Si OS spécifique : à saisir en D16","Aucune",VLOOKUP(C13,'Table FD&amp;FC'!U4:W98,3,FALSE))</f>
        <v>TH06</v>
      </c>
      <c r="D15" s="283"/>
      <c r="E15" s="284"/>
      <c r="G15" s="713" t="s">
        <v>534</v>
      </c>
      <c r="H15" s="714"/>
      <c r="I15" s="715"/>
      <c r="J15" s="581">
        <f>IF(LEFT(J14,1)="N",J14,ROUND(J14/C17,0))</f>
        <v>302</v>
      </c>
      <c r="K15" s="581">
        <f>IF(LEFT(K14,1)="N",K14,ROUND(K14/C17,0))</f>
        <v>433</v>
      </c>
      <c r="L15" s="581">
        <f>IF(LEFT(L14,1)="N",L14,ROUND(L14/C17,0))</f>
        <v>481</v>
      </c>
      <c r="M15" s="581">
        <f>IF(LEFT(M14,1)="N",M14,ROUND(M14/C17,0))</f>
        <v>529</v>
      </c>
      <c r="N15" s="581">
        <f>IF(LEFT(N14,1)="N",N14,ROUND(N14/C17,0))</f>
        <v>350</v>
      </c>
      <c r="O15" s="730"/>
    </row>
    <row r="16" spans="1:16" ht="33" customHeight="1" x14ac:dyDescent="0.25">
      <c r="B16" s="102" t="s">
        <v>130</v>
      </c>
      <c r="C16" s="382" t="s">
        <v>711</v>
      </c>
      <c r="D16" s="796" t="s">
        <v>588</v>
      </c>
      <c r="E16" s="797"/>
      <c r="F16" s="797"/>
      <c r="G16" s="808" t="s">
        <v>693</v>
      </c>
      <c r="H16" s="809"/>
      <c r="I16" s="810"/>
      <c r="J16" s="582">
        <f>ROUNDUP(J9/(J13-J10/C17),0)</f>
        <v>6</v>
      </c>
      <c r="K16" s="582">
        <f>ROUNDUP(J9/(K13-J10/C17),0)</f>
        <v>4</v>
      </c>
      <c r="L16" s="582">
        <f>ROUNDUP(J9/(L13-J10/C17),0)</f>
        <v>3</v>
      </c>
      <c r="M16" s="582">
        <f>ROUNDUP(J9/(M13-J10/C17),0)</f>
        <v>3</v>
      </c>
      <c r="N16" s="582">
        <f>ROUNDUP(J9/(N13-J10/C17),0)</f>
        <v>5</v>
      </c>
      <c r="O16" s="730"/>
    </row>
    <row r="17" spans="1:16" ht="15" customHeight="1" x14ac:dyDescent="0.25">
      <c r="B17" s="101" t="s">
        <v>523</v>
      </c>
      <c r="C17" s="383">
        <v>6</v>
      </c>
      <c r="D17" s="78"/>
      <c r="E17" s="78"/>
      <c r="F17" s="78"/>
      <c r="G17" s="713" t="s">
        <v>134</v>
      </c>
      <c r="H17" s="714"/>
      <c r="I17" s="715"/>
      <c r="J17" s="574">
        <f>J13*J16</f>
        <v>5442</v>
      </c>
      <c r="K17" s="574">
        <f>K13*K16</f>
        <v>5192</v>
      </c>
      <c r="L17" s="574">
        <f>L13*L16</f>
        <v>4329</v>
      </c>
      <c r="M17" s="574">
        <f>M13*M16</f>
        <v>4761</v>
      </c>
      <c r="N17" s="574">
        <f>N13*N16</f>
        <v>5255</v>
      </c>
      <c r="O17" s="730"/>
    </row>
    <row r="18" spans="1:16" ht="15.75" thickBot="1" x14ac:dyDescent="0.3">
      <c r="B18" s="101" t="s">
        <v>126</v>
      </c>
      <c r="C18" s="383">
        <v>2</v>
      </c>
      <c r="D18" s="78"/>
      <c r="E18" s="78"/>
      <c r="F18" s="78"/>
      <c r="G18" s="716" t="s">
        <v>135</v>
      </c>
      <c r="H18" s="717"/>
      <c r="I18" s="718"/>
      <c r="J18" s="570">
        <f>ROUND(J9+J10/C17*J16,0)</f>
        <v>4947</v>
      </c>
      <c r="K18" s="570">
        <f>ROUND(J9+J10/C17*K16,0)</f>
        <v>4372</v>
      </c>
      <c r="L18" s="570">
        <f>ROUND(J9+J10/C17*L16,0)</f>
        <v>4084</v>
      </c>
      <c r="M18" s="570">
        <f>ROUND(J9+J10/C17*M16,0)</f>
        <v>4084</v>
      </c>
      <c r="N18" s="570">
        <f>ROUND(J9+J10/C17*N16,0)</f>
        <v>4659</v>
      </c>
      <c r="O18" s="710"/>
    </row>
    <row r="19" spans="1:16" ht="15.75" customHeight="1" thickBot="1" x14ac:dyDescent="0.3">
      <c r="B19" s="80" t="s">
        <v>136</v>
      </c>
      <c r="C19" s="384">
        <v>0.1</v>
      </c>
      <c r="D19" s="122" t="s">
        <v>345</v>
      </c>
      <c r="E19" s="116"/>
      <c r="F19" s="109"/>
    </row>
    <row r="20" spans="1:16" ht="16.5" thickTop="1" thickBot="1" x14ac:dyDescent="0.3">
      <c r="B20" s="272" t="s">
        <v>526</v>
      </c>
      <c r="C20" s="273">
        <f>C17*C21</f>
        <v>12</v>
      </c>
      <c r="D20" s="123" t="s">
        <v>142</v>
      </c>
      <c r="E20" s="117"/>
      <c r="K20" s="526"/>
      <c r="L20" s="526"/>
      <c r="M20" s="527" t="s">
        <v>617</v>
      </c>
      <c r="N20" s="528" t="s">
        <v>618</v>
      </c>
      <c r="O20" s="118"/>
    </row>
    <row r="21" spans="1:16" ht="29.25" customHeight="1" thickTop="1" x14ac:dyDescent="0.25">
      <c r="B21" s="272" t="s">
        <v>527</v>
      </c>
      <c r="C21" s="273">
        <f>IF(C6=I57,I59*I57,I59*C6)</f>
        <v>2</v>
      </c>
      <c r="D21" s="93"/>
      <c r="E21" s="93"/>
      <c r="F21" s="525"/>
      <c r="G21" s="787" t="s">
        <v>619</v>
      </c>
      <c r="H21" s="784"/>
      <c r="I21" s="784"/>
      <c r="J21" s="620">
        <f>0.9*J22</f>
        <v>1428.3</v>
      </c>
      <c r="K21" s="784" t="s">
        <v>695</v>
      </c>
      <c r="L21" s="784"/>
      <c r="M21" s="623"/>
      <c r="N21" s="627">
        <f>J22*C20-L12*C21</f>
        <v>1728</v>
      </c>
      <c r="P21" s="699" t="s">
        <v>698</v>
      </c>
    </row>
    <row r="22" spans="1:16" ht="29.25" customHeight="1" thickBot="1" x14ac:dyDescent="0.3">
      <c r="B22" s="778" t="s">
        <v>525</v>
      </c>
      <c r="C22" s="779"/>
      <c r="D22" s="779"/>
      <c r="E22" s="779"/>
      <c r="F22" s="525"/>
      <c r="G22" s="789" t="s">
        <v>620</v>
      </c>
      <c r="H22" s="790"/>
      <c r="I22" s="790"/>
      <c r="J22" s="634">
        <v>1587</v>
      </c>
      <c r="K22" s="702" t="s">
        <v>696</v>
      </c>
      <c r="L22" s="702"/>
      <c r="M22" s="629">
        <f>ROUNDUP(J9/(J21-J10/C17),0)</f>
        <v>3</v>
      </c>
      <c r="N22" s="622"/>
      <c r="P22" s="700"/>
    </row>
    <row r="23" spans="1:16" ht="29.25" customHeight="1" thickTop="1" thickBot="1" x14ac:dyDescent="0.3">
      <c r="F23" s="617"/>
      <c r="G23" s="617"/>
      <c r="H23" s="617"/>
      <c r="I23" s="617"/>
      <c r="J23" s="617"/>
      <c r="K23" s="789" t="s">
        <v>697</v>
      </c>
      <c r="L23" s="790"/>
      <c r="M23" s="628"/>
      <c r="N23" s="621">
        <f>ROUNDUP(L9/(J22-L10/C17),0)</f>
        <v>5</v>
      </c>
      <c r="P23" s="701"/>
    </row>
    <row r="24" spans="1:16" ht="16.5" thickTop="1" thickBot="1" x14ac:dyDescent="0.3">
      <c r="A24" s="385"/>
      <c r="B24" s="385"/>
      <c r="C24" s="385"/>
      <c r="D24" s="386"/>
      <c r="E24" s="387"/>
      <c r="F24" s="385"/>
      <c r="G24" s="788"/>
      <c r="H24" s="788"/>
      <c r="I24" s="788"/>
      <c r="J24" s="119"/>
    </row>
    <row r="25" spans="1:16" ht="15.75" thickBot="1" x14ac:dyDescent="0.3">
      <c r="A25" s="385"/>
      <c r="B25" s="385"/>
      <c r="C25" s="385"/>
      <c r="D25" s="386"/>
      <c r="E25" s="387"/>
      <c r="F25" s="385"/>
      <c r="G25" s="800" t="s">
        <v>158</v>
      </c>
      <c r="H25" s="801"/>
      <c r="I25" s="801"/>
      <c r="J25" s="801"/>
      <c r="K25" s="801"/>
      <c r="L25" s="801"/>
      <c r="M25" s="801"/>
      <c r="N25" s="802"/>
    </row>
    <row r="26" spans="1:16" x14ac:dyDescent="0.25">
      <c r="A26" s="385"/>
      <c r="B26" s="385"/>
      <c r="C26" s="385"/>
      <c r="D26" s="386"/>
      <c r="E26" s="387"/>
      <c r="F26" s="385"/>
      <c r="G26" s="803" t="s">
        <v>154</v>
      </c>
      <c r="H26" s="804"/>
      <c r="I26" s="804"/>
      <c r="J26" s="280">
        <f>J28*C20</f>
        <v>4236</v>
      </c>
      <c r="K26" s="280">
        <f>K28*C20</f>
        <v>7692</v>
      </c>
      <c r="L26" s="369">
        <f>L28*C20</f>
        <v>8556</v>
      </c>
      <c r="M26" s="369">
        <f>M28*C20</f>
        <v>9408</v>
      </c>
      <c r="N26" s="370">
        <f>N28*C20</f>
        <v>5052</v>
      </c>
    </row>
    <row r="27" spans="1:16" x14ac:dyDescent="0.25">
      <c r="A27" s="385"/>
      <c r="B27" s="385"/>
      <c r="C27" s="385"/>
      <c r="D27" s="386"/>
      <c r="E27" s="387"/>
      <c r="F27" s="385"/>
      <c r="G27" s="782" t="s">
        <v>155</v>
      </c>
      <c r="H27" s="783"/>
      <c r="I27" s="783"/>
      <c r="J27" s="281">
        <f>IF(OR(LEFT(C10,2)="FC",LEFT(C10,2)="Ce"),ROUND(J26/C11,0),"Non")</f>
        <v>1412</v>
      </c>
      <c r="K27" s="281">
        <f>IF(OR(LEFT(C10,2)="FC",LEFT(C10,2)="Ce"),ROUND(K26/C11,0),"Non")</f>
        <v>2564</v>
      </c>
      <c r="L27" s="371">
        <f>IF(OR(LEFT(C10,2)="FC",LEFT(C10,2)="Ce"),ROUND(L26/C11,0),"Non")</f>
        <v>2852</v>
      </c>
      <c r="M27" s="371">
        <f>IF(OR(LEFT(C10,2)="FC",LEFT(C10,2)="Ce"),ROUND(M26/C11,0),"Non")</f>
        <v>3136</v>
      </c>
      <c r="N27" s="372">
        <f>IF(OR(LEFT(C10,2)="FC",LEFT(C10,2)="Ce"),ROUND(N26/C11,0),"Non")</f>
        <v>1684</v>
      </c>
    </row>
    <row r="28" spans="1:16" x14ac:dyDescent="0.25">
      <c r="A28" s="385"/>
      <c r="B28" s="385"/>
      <c r="C28" s="385"/>
      <c r="D28" s="386"/>
      <c r="E28" s="387"/>
      <c r="F28" s="385"/>
      <c r="G28" s="782" t="s">
        <v>156</v>
      </c>
      <c r="H28" s="783"/>
      <c r="I28" s="783"/>
      <c r="J28" s="281">
        <f>IF(I57=0,ROUND(K56/C20*1.1,0),0)</f>
        <v>353</v>
      </c>
      <c r="K28" s="281">
        <f>IF(I57=0,ROUND(L56*0.9/C20*1.1,0),0)</f>
        <v>641</v>
      </c>
      <c r="L28" s="371">
        <f>IF(I57=0,ROUND(L56/C20*1.1,0),0)</f>
        <v>713</v>
      </c>
      <c r="M28" s="371">
        <f>IF(I57=0,ROUND(L56/C20*1.1*(1+C19),0),0)</f>
        <v>784</v>
      </c>
      <c r="N28" s="372">
        <f>IF(I57=0,ROUND(N56/C20,0),0)</f>
        <v>421</v>
      </c>
    </row>
    <row r="29" spans="1:16" ht="15.75" thickBot="1" x14ac:dyDescent="0.3">
      <c r="A29" s="385"/>
      <c r="B29" s="385"/>
      <c r="C29" s="385"/>
      <c r="D29" s="386"/>
      <c r="E29" s="387"/>
      <c r="F29" s="385"/>
      <c r="G29" s="798" t="s">
        <v>157</v>
      </c>
      <c r="H29" s="799"/>
      <c r="I29" s="799"/>
      <c r="J29" s="279">
        <f>IF(LEFT(J27,1)="N",J27,ROUND(J27/(C17*C11),0))</f>
        <v>78</v>
      </c>
      <c r="K29" s="279">
        <f>IF(LEFT(K27,1)="N",K27,ROUND(K27/(C17*C11),0))</f>
        <v>142</v>
      </c>
      <c r="L29" s="373">
        <f>IF(LEFT(L27,1)="N",L27,ROUND(L27/(C17*C11),0))</f>
        <v>158</v>
      </c>
      <c r="M29" s="373">
        <f>IF(LEFT(M27,1)="N",M27,ROUND(M27/(C17*C11),0))</f>
        <v>174</v>
      </c>
      <c r="N29" s="374">
        <f>IF(LEFT(N27,1)="N",N27,ROUND(N27/(C17*C11),0))</f>
        <v>94</v>
      </c>
    </row>
    <row r="30" spans="1:16" x14ac:dyDescent="0.25">
      <c r="A30" s="385"/>
      <c r="B30" s="385"/>
      <c r="C30" s="385"/>
      <c r="D30" s="386"/>
      <c r="E30" s="387"/>
      <c r="F30" s="385"/>
      <c r="G30" s="611"/>
      <c r="H30" s="611"/>
      <c r="I30" s="611"/>
      <c r="J30" s="611"/>
      <c r="K30" s="611"/>
      <c r="L30" s="611"/>
      <c r="M30" s="611"/>
      <c r="N30" s="611"/>
    </row>
    <row r="31" spans="1:16" ht="15.75" thickBot="1" x14ac:dyDescent="0.3">
      <c r="A31" s="385"/>
      <c r="B31" s="385"/>
      <c r="C31" s="385"/>
      <c r="D31" s="386"/>
      <c r="E31" s="387"/>
      <c r="F31" s="385"/>
      <c r="G31" s="611"/>
      <c r="H31" s="611"/>
      <c r="I31" s="611"/>
      <c r="J31" s="611"/>
      <c r="K31" s="611"/>
      <c r="L31" s="611"/>
      <c r="M31" s="611"/>
      <c r="N31" s="611"/>
    </row>
    <row r="32" spans="1:16" ht="45.75" thickBot="1" x14ac:dyDescent="0.3">
      <c r="A32" s="385"/>
      <c r="B32" s="388"/>
      <c r="C32" s="385"/>
      <c r="D32" s="385"/>
      <c r="E32" s="385"/>
      <c r="F32" s="385"/>
      <c r="G32" s="120"/>
      <c r="K32" s="14" t="s">
        <v>150</v>
      </c>
      <c r="L32" s="15" t="s">
        <v>149</v>
      </c>
      <c r="M32" s="15" t="s">
        <v>151</v>
      </c>
      <c r="N32" s="15" t="s">
        <v>584</v>
      </c>
    </row>
    <row r="33" spans="1:14" ht="60.75" thickBot="1" x14ac:dyDescent="0.3">
      <c r="A33" s="81" t="s">
        <v>18</v>
      </c>
      <c r="B33" s="12" t="s">
        <v>0</v>
      </c>
      <c r="C33" s="12" t="s">
        <v>22</v>
      </c>
      <c r="D33" s="12" t="s">
        <v>23</v>
      </c>
      <c r="E33" s="12" t="s">
        <v>25</v>
      </c>
      <c r="F33" s="12" t="s">
        <v>40</v>
      </c>
      <c r="G33" s="12" t="s">
        <v>39</v>
      </c>
      <c r="H33" s="12" t="s">
        <v>38</v>
      </c>
      <c r="I33" s="12" t="s">
        <v>122</v>
      </c>
      <c r="J33" s="12" t="s">
        <v>37</v>
      </c>
      <c r="K33" s="12" t="s">
        <v>27</v>
      </c>
      <c r="L33" s="13" t="s">
        <v>26</v>
      </c>
      <c r="M33" s="92" t="s">
        <v>137</v>
      </c>
      <c r="N33" s="479" t="s">
        <v>585</v>
      </c>
    </row>
    <row r="34" spans="1:14" ht="15.75" thickBot="1" x14ac:dyDescent="0.3">
      <c r="M34" s="93"/>
      <c r="N34" s="93"/>
    </row>
    <row r="35" spans="1:14" ht="15.75" customHeight="1" thickBot="1" x14ac:dyDescent="0.3">
      <c r="A35" s="754" t="s">
        <v>128</v>
      </c>
      <c r="B35" s="756"/>
      <c r="C35" s="756"/>
      <c r="D35" s="756"/>
      <c r="E35" s="756"/>
      <c r="F35" s="756"/>
      <c r="G35" s="756"/>
      <c r="H35" s="756"/>
      <c r="I35" s="756"/>
      <c r="J35" s="757"/>
      <c r="K35" s="75">
        <f>K60+K104</f>
        <v>4947.3343167406474</v>
      </c>
      <c r="L35" s="82">
        <f>L60+L104</f>
        <v>7868.4147177461964</v>
      </c>
      <c r="M35" s="94">
        <f>M60+M104</f>
        <v>7656.7176608116679</v>
      </c>
      <c r="N35" s="487">
        <f>N60+N104</f>
        <v>6306.1255661283831</v>
      </c>
    </row>
    <row r="36" spans="1:14" ht="15.75" customHeight="1" x14ac:dyDescent="0.25">
      <c r="A36" s="482"/>
      <c r="B36" s="482"/>
      <c r="C36" s="482"/>
      <c r="D36" s="482"/>
      <c r="E36" s="482"/>
      <c r="F36" s="482"/>
      <c r="G36" s="482"/>
      <c r="H36" s="482"/>
      <c r="I36" s="482"/>
      <c r="J36" s="482"/>
      <c r="K36" s="485"/>
      <c r="L36" s="485"/>
      <c r="M36" s="486"/>
      <c r="N36" s="486"/>
    </row>
    <row r="37" spans="1:14" ht="15.75" thickBot="1" x14ac:dyDescent="0.3">
      <c r="A37" s="780" t="s">
        <v>587</v>
      </c>
      <c r="B37" s="780"/>
      <c r="C37" s="488" t="s">
        <v>577</v>
      </c>
      <c r="D37" s="488" t="s">
        <v>578</v>
      </c>
      <c r="E37" s="781" t="s">
        <v>576</v>
      </c>
      <c r="F37" s="781"/>
      <c r="G37" s="781"/>
      <c r="H37" s="781"/>
      <c r="I37" s="781"/>
      <c r="J37" s="781"/>
    </row>
    <row r="38" spans="1:14" ht="14.45" customHeight="1" thickBot="1" x14ac:dyDescent="0.3">
      <c r="A38" s="751" t="s">
        <v>124</v>
      </c>
      <c r="B38" s="752"/>
      <c r="C38" s="752"/>
      <c r="D38" s="752"/>
      <c r="E38" s="752"/>
      <c r="F38" s="752"/>
      <c r="G38" s="752"/>
      <c r="H38" s="752"/>
      <c r="I38" s="752"/>
      <c r="J38" s="752"/>
      <c r="K38" s="752"/>
      <c r="L38" s="752"/>
      <c r="M38" s="752"/>
      <c r="N38" s="753"/>
    </row>
    <row r="39" spans="1:14" ht="14.45" customHeight="1" x14ac:dyDescent="0.25">
      <c r="A39" s="766" t="s">
        <v>19</v>
      </c>
      <c r="B39" s="16" t="s">
        <v>14</v>
      </c>
      <c r="C39" s="389">
        <v>8</v>
      </c>
      <c r="D39" s="389"/>
      <c r="E39" s="17">
        <f>C39*VLOOKUP(C37,A115:C148,3,FALSE)+VLOOKUP(D37,A115:C144,3,FALSE)*D39</f>
        <v>512.82313253012046</v>
      </c>
      <c r="F39" s="47"/>
      <c r="G39" s="47"/>
      <c r="H39" s="48"/>
      <c r="I39" s="395"/>
      <c r="J39" s="400"/>
      <c r="K39" s="17">
        <f>SUM(E39:J39)-F39-G39</f>
        <v>512.82313253012046</v>
      </c>
      <c r="L39" s="17">
        <f>E39*(1+C117)+I39+J39*(1+C119)</f>
        <v>1036.5181154698796</v>
      </c>
      <c r="M39" s="95">
        <f>E39*(1+C126)+I39+J39</f>
        <v>1005.1333397590361</v>
      </c>
      <c r="N39" s="95">
        <f>(E39*(1+C120)*(1+C121)+H39*(1+C121)+I39+J39*(1+C119))*1.25</f>
        <v>673.35926030640962</v>
      </c>
    </row>
    <row r="40" spans="1:14" ht="14.45" customHeight="1" thickBot="1" x14ac:dyDescent="0.3">
      <c r="A40" s="768"/>
      <c r="B40" s="18" t="s">
        <v>13</v>
      </c>
      <c r="C40" s="390"/>
      <c r="D40" s="390"/>
      <c r="E40" s="19">
        <f>C40*VLOOKUP(C37,A115:C148,3,FALSE)+VLOOKUP(D37,A115:C144,3,FALSE)*D40</f>
        <v>0</v>
      </c>
      <c r="F40" s="49"/>
      <c r="G40" s="49"/>
      <c r="H40" s="50"/>
      <c r="I40" s="396"/>
      <c r="J40" s="401"/>
      <c r="K40" s="19">
        <f t="shared" ref="K40:K55" si="0">SUM(E40:J40)-F40-G40</f>
        <v>0</v>
      </c>
      <c r="L40" s="19">
        <f>E40*(1+C117)+I40+J40*(1+C119)</f>
        <v>0</v>
      </c>
      <c r="M40" s="96">
        <f>E40*(1+C126)+I40+J40</f>
        <v>0</v>
      </c>
      <c r="N40" s="96">
        <f>(E40*(1+C120)*(1+C121)+H40*(1+C121)+I40+J40*(1+C119))*1.25</f>
        <v>0</v>
      </c>
    </row>
    <row r="41" spans="1:14" x14ac:dyDescent="0.25">
      <c r="A41" s="766" t="s">
        <v>11</v>
      </c>
      <c r="B41" s="20" t="s">
        <v>2</v>
      </c>
      <c r="C41" s="389">
        <v>4</v>
      </c>
      <c r="D41" s="389"/>
      <c r="E41" s="17">
        <f>C41*VLOOKUP(C37,A115:C148,3,FALSE)+VLOOKUP(D37,A115:C144,3,FALSE)*D41</f>
        <v>256.41156626506023</v>
      </c>
      <c r="F41" s="47"/>
      <c r="G41" s="47"/>
      <c r="H41" s="48"/>
      <c r="I41" s="395"/>
      <c r="J41" s="400"/>
      <c r="K41" s="17">
        <f t="shared" si="0"/>
        <v>256.41156626506023</v>
      </c>
      <c r="L41" s="17">
        <f>E41*(1+C117)+I41+J41*(1+C119)</f>
        <v>518.2590577349398</v>
      </c>
      <c r="M41" s="95">
        <f>E41*(1+C126)+I41+J41</f>
        <v>502.56666987951803</v>
      </c>
      <c r="N41" s="95">
        <f>(E41*(1+C120)*(1+C121)+H41*(1+C121)+I41+J41*(1+C119))*1.25</f>
        <v>336.67963015320481</v>
      </c>
    </row>
    <row r="42" spans="1:14" x14ac:dyDescent="0.25">
      <c r="A42" s="767"/>
      <c r="B42" s="4" t="s">
        <v>3</v>
      </c>
      <c r="C42" s="391">
        <v>8</v>
      </c>
      <c r="D42" s="391"/>
      <c r="E42" s="11">
        <f>C42*VLOOKUP(C37,A115:C148,3,FALSE)+VLOOKUP(D37,A115:C144,3,FALSE)*D42</f>
        <v>512.82313253012046</v>
      </c>
      <c r="F42" s="51"/>
      <c r="G42" s="51"/>
      <c r="H42" s="52"/>
      <c r="I42" s="397"/>
      <c r="J42" s="402"/>
      <c r="K42" s="11">
        <f t="shared" si="0"/>
        <v>512.82313253012046</v>
      </c>
      <c r="L42" s="11">
        <f>E42*(1+C117)+I42+J42*(1+C119)</f>
        <v>1036.5181154698796</v>
      </c>
      <c r="M42" s="97">
        <f>E42*(1+C126)+I42+J42</f>
        <v>1005.1333397590361</v>
      </c>
      <c r="N42" s="97">
        <f>(E42*(1+C120)*(1+C121)+H42*(1+C121)+I42+J42*(1+C119))*1.25</f>
        <v>673.35926030640962</v>
      </c>
    </row>
    <row r="43" spans="1:14" x14ac:dyDescent="0.25">
      <c r="A43" s="767"/>
      <c r="B43" s="4" t="s">
        <v>4</v>
      </c>
      <c r="C43" s="391">
        <v>8</v>
      </c>
      <c r="D43" s="391"/>
      <c r="E43" s="11">
        <f>C43*VLOOKUP(C37,A115:C148,3,FALSE)+VLOOKUP(D37,A115:C144,3,FALSE)*D43</f>
        <v>512.82313253012046</v>
      </c>
      <c r="F43" s="51"/>
      <c r="G43" s="51"/>
      <c r="H43" s="52"/>
      <c r="I43" s="397"/>
      <c r="J43" s="402"/>
      <c r="K43" s="11">
        <f t="shared" si="0"/>
        <v>512.82313253012046</v>
      </c>
      <c r="L43" s="11">
        <f>E43*(1+C117)+I43+J43*(1+C119)</f>
        <v>1036.5181154698796</v>
      </c>
      <c r="M43" s="97">
        <f>E43*(1+C126)+I43+J43</f>
        <v>1005.1333397590361</v>
      </c>
      <c r="N43" s="97">
        <f>(E43*(1+C120)*(1+C121)+H43*(1+C121)+I43+J43*(1+C119))*1.25</f>
        <v>673.35926030640962</v>
      </c>
    </row>
    <row r="44" spans="1:14" ht="15.75" thickBot="1" x14ac:dyDescent="0.3">
      <c r="A44" s="768"/>
      <c r="B44" s="21" t="s">
        <v>5</v>
      </c>
      <c r="C44" s="390">
        <v>8</v>
      </c>
      <c r="D44" s="390"/>
      <c r="E44" s="19">
        <f>C44*VLOOKUP(C37,A115:C148,3,FALSE)+VLOOKUP(D37,A115:C144,3,FALSE)*D44</f>
        <v>512.82313253012046</v>
      </c>
      <c r="F44" s="49"/>
      <c r="G44" s="49"/>
      <c r="H44" s="50"/>
      <c r="I44" s="396"/>
      <c r="J44" s="401"/>
      <c r="K44" s="19">
        <f t="shared" si="0"/>
        <v>512.82313253012046</v>
      </c>
      <c r="L44" s="19">
        <f>E44*(1+C117)+I44+J44*(1+C119)</f>
        <v>1036.5181154698796</v>
      </c>
      <c r="M44" s="96">
        <f>E44*(1+C126)+I44+J44</f>
        <v>1005.1333397590361</v>
      </c>
      <c r="N44" s="96">
        <f>(E44*(1+C120)*(1+C121)+H44*(1+C121)+I44+J44*(1+C119))*1.25</f>
        <v>673.35926030640962</v>
      </c>
    </row>
    <row r="45" spans="1:14" x14ac:dyDescent="0.25">
      <c r="A45" s="766" t="s">
        <v>12</v>
      </c>
      <c r="B45" s="16" t="s">
        <v>6</v>
      </c>
      <c r="C45" s="389">
        <v>24</v>
      </c>
      <c r="D45" s="389"/>
      <c r="E45" s="17">
        <f>C45*VLOOKUP(C37,A115:C148,3,FALSE)+VLOOKUP(D37,A115:C144,3,FALSE)*D45</f>
        <v>1538.4693975903615</v>
      </c>
      <c r="F45" s="47"/>
      <c r="G45" s="47"/>
      <c r="H45" s="48"/>
      <c r="I45" s="395"/>
      <c r="J45" s="400"/>
      <c r="K45" s="17">
        <f t="shared" si="0"/>
        <v>1538.4693975903615</v>
      </c>
      <c r="L45" s="17">
        <f>E45*(1+C117)+I45+J45*(1+C119)</f>
        <v>3109.554346409639</v>
      </c>
      <c r="M45" s="95">
        <f>E45*(1+C126)+I45+J45</f>
        <v>3015.4000192771086</v>
      </c>
      <c r="N45" s="95">
        <f>(E45*(1+C120)*(1+C121)+H45*(1+C121)+I45+J45*(1+C119))*1.25</f>
        <v>2020.0777809192289</v>
      </c>
    </row>
    <row r="46" spans="1:14" x14ac:dyDescent="0.25">
      <c r="A46" s="767"/>
      <c r="B46" s="7" t="s">
        <v>7</v>
      </c>
      <c r="C46" s="391"/>
      <c r="D46" s="391"/>
      <c r="E46" s="11">
        <f>C46*VLOOKUP(C37,A115:C148,3,FALSE)+VLOOKUP(D37,A115:C144,3,FALSE)*D46</f>
        <v>0</v>
      </c>
      <c r="F46" s="51"/>
      <c r="G46" s="51"/>
      <c r="H46" s="52"/>
      <c r="I46" s="397"/>
      <c r="J46" s="402"/>
      <c r="K46" s="11">
        <f t="shared" si="0"/>
        <v>0</v>
      </c>
      <c r="L46" s="11">
        <f>E46*(1+C117)+I46+J46*(1+C119)</f>
        <v>0</v>
      </c>
      <c r="M46" s="97">
        <f>E46*(1+C126)+I46+J46</f>
        <v>0</v>
      </c>
      <c r="N46" s="97">
        <f>(E46*(1+C120)*(1+C121)+H46*(1+C121)+I46+J46*(1+C119))*1.25</f>
        <v>0</v>
      </c>
    </row>
    <row r="47" spans="1:14" x14ac:dyDescent="0.25">
      <c r="A47" s="767"/>
      <c r="B47" s="4" t="s">
        <v>8</v>
      </c>
      <c r="C47" s="391"/>
      <c r="D47" s="391"/>
      <c r="E47" s="11">
        <f>C47*VLOOKUP(C37,A115:C148,3,FALSE)+VLOOKUP(D37,A115:C144,3,FALSE)*D47</f>
        <v>0</v>
      </c>
      <c r="F47" s="51"/>
      <c r="G47" s="51"/>
      <c r="H47" s="52"/>
      <c r="I47" s="397"/>
      <c r="J47" s="402"/>
      <c r="K47" s="11">
        <f>SUM(E47:J47)-F47-G47</f>
        <v>0</v>
      </c>
      <c r="L47" s="11">
        <f>E47*(1+C117)+I47+J47*(1+C119)</f>
        <v>0</v>
      </c>
      <c r="M47" s="97">
        <f>E47*(1+C126)+I47+J47</f>
        <v>0</v>
      </c>
      <c r="N47" s="97">
        <f>(E47*(1+C120)*(1+C121)+H47*(1+C121)+I47+J47*(1+C119))*1.25</f>
        <v>0</v>
      </c>
    </row>
    <row r="48" spans="1:14" x14ac:dyDescent="0.25">
      <c r="A48" s="767"/>
      <c r="B48" s="114" t="s">
        <v>409</v>
      </c>
      <c r="C48" s="142">
        <f>'Conception numérique'!B47/VLOOKUP(C37,A115:C148,3,FALSE)</f>
        <v>0</v>
      </c>
      <c r="D48" s="51"/>
      <c r="E48" s="11">
        <f>C48*VLOOKUP(C37,A115:C148,3,FALSE)+VLOOKUP(D37,A115:C144,3,FALSE)*D48</f>
        <v>0</v>
      </c>
      <c r="F48" s="142">
        <f>'Conception numérique'!B49/'Fiche de coûts'!C123</f>
        <v>0</v>
      </c>
      <c r="G48" s="142">
        <f>'Conception numérique'!B50/'Fiche de coûts'!C122</f>
        <v>0</v>
      </c>
      <c r="H48" s="11">
        <f>F48*C123+C122*G48</f>
        <v>0</v>
      </c>
      <c r="I48" s="397"/>
      <c r="J48" s="11">
        <f>'Conception numérique'!B55</f>
        <v>0</v>
      </c>
      <c r="K48" s="11">
        <f t="shared" si="0"/>
        <v>0</v>
      </c>
      <c r="L48" s="11">
        <f>E48*(1+C117)+I48+J48*(1+C119)</f>
        <v>0</v>
      </c>
      <c r="M48" s="97">
        <f>E48*(1+C126)+I48+J48</f>
        <v>0</v>
      </c>
      <c r="N48" s="97">
        <f>(E48*(1+C120)*(1+C121)+H48*(1+C121)+I48)*1.25+J48*(1+C119)</f>
        <v>0</v>
      </c>
    </row>
    <row r="49" spans="1:15" x14ac:dyDescent="0.25">
      <c r="A49" s="767"/>
      <c r="B49" s="490" t="s">
        <v>145</v>
      </c>
      <c r="C49" s="391"/>
      <c r="D49" s="391"/>
      <c r="E49" s="11">
        <f>C49*VLOOKUP(C37,A115:C148,3,FALSE)+VLOOKUP(D37,A115:C144,3,FALSE)*D49</f>
        <v>0</v>
      </c>
      <c r="F49" s="51"/>
      <c r="G49" s="51"/>
      <c r="H49" s="52"/>
      <c r="I49" s="397"/>
      <c r="J49" s="402"/>
      <c r="K49" s="11">
        <f t="shared" si="0"/>
        <v>0</v>
      </c>
      <c r="L49" s="11">
        <f>E49*(1+C117)+I49+J49*(1+C119)</f>
        <v>0</v>
      </c>
      <c r="M49" s="97">
        <f>E49*(1+C126)+I49+J49</f>
        <v>0</v>
      </c>
      <c r="N49" s="97">
        <f>(E49*(1+C120)*(1+C121)+H49*(1+C121)+I49+J49*(1+C119))*1.25</f>
        <v>0</v>
      </c>
    </row>
    <row r="50" spans="1:15" x14ac:dyDescent="0.25">
      <c r="A50" s="767"/>
      <c r="B50" s="490" t="s">
        <v>145</v>
      </c>
      <c r="C50" s="391"/>
      <c r="D50" s="391"/>
      <c r="E50" s="11">
        <f>C50*VLOOKUP(C37,A115:C148,3,FALSE)+VLOOKUP(D37,A115:C144,3,FALSE)*D50</f>
        <v>0</v>
      </c>
      <c r="F50" s="51"/>
      <c r="G50" s="51"/>
      <c r="H50" s="52"/>
      <c r="I50" s="397"/>
      <c r="J50" s="402"/>
      <c r="K50" s="11">
        <f t="shared" si="0"/>
        <v>0</v>
      </c>
      <c r="L50" s="11">
        <f>E50*(1+C117)+I50+J50*(1+C119)</f>
        <v>0</v>
      </c>
      <c r="M50" s="97">
        <f>E50*(1+C126)+I50+J50</f>
        <v>0</v>
      </c>
      <c r="N50" s="97">
        <f>(E50*(1+C120)*(1+C121)+H50*(1+C121)+I50+J50*(1+C119))*1.25</f>
        <v>0</v>
      </c>
    </row>
    <row r="51" spans="1:15" x14ac:dyDescent="0.25">
      <c r="A51" s="767"/>
      <c r="B51" s="490" t="s">
        <v>145</v>
      </c>
      <c r="C51" s="391"/>
      <c r="D51" s="391"/>
      <c r="E51" s="11">
        <f>C51*VLOOKUP(C37,A115:C148,3,FALSE)+VLOOKUP(D37,A115:C144,3,FALSE)*D51</f>
        <v>0</v>
      </c>
      <c r="F51" s="51"/>
      <c r="G51" s="51"/>
      <c r="H51" s="52"/>
      <c r="I51" s="397"/>
      <c r="J51" s="402"/>
      <c r="K51" s="11">
        <f t="shared" si="0"/>
        <v>0</v>
      </c>
      <c r="L51" s="11">
        <f>E51*(1+C117)+I51+J51*(1+C119)</f>
        <v>0</v>
      </c>
      <c r="M51" s="97">
        <f>E51*(1+C126)+I51+J51</f>
        <v>0</v>
      </c>
      <c r="N51" s="97">
        <f>(E51*(1+C120)*(1+C121)+H51*(1+C121)+I51+J51*(1+C119))*1.25</f>
        <v>0</v>
      </c>
    </row>
    <row r="52" spans="1:15" x14ac:dyDescent="0.25">
      <c r="A52" s="767"/>
      <c r="B52" s="6" t="s">
        <v>9</v>
      </c>
      <c r="C52" s="391"/>
      <c r="D52" s="391"/>
      <c r="E52" s="11">
        <f>C52*VLOOKUP(C37,A115:C148,3,FALSE)+VLOOKUP(D37,A115:C144,3,FALSE)*D52</f>
        <v>0</v>
      </c>
      <c r="F52" s="51"/>
      <c r="G52" s="51"/>
      <c r="H52" s="52"/>
      <c r="I52" s="397"/>
      <c r="J52" s="402"/>
      <c r="K52" s="11">
        <f t="shared" si="0"/>
        <v>0</v>
      </c>
      <c r="L52" s="11">
        <f>E52*(1+C117)+I52+J52*(1+C119)</f>
        <v>0</v>
      </c>
      <c r="M52" s="97">
        <f>E52*(1+C126)+I52+J52</f>
        <v>0</v>
      </c>
      <c r="N52" s="97">
        <f>(E52*(1+C120)*(1+C121)+H52*(1+C121)+I52+J52*(1+C119))*1.25</f>
        <v>0</v>
      </c>
    </row>
    <row r="53" spans="1:15" x14ac:dyDescent="0.25">
      <c r="A53" s="769"/>
      <c r="B53" s="4" t="s">
        <v>10</v>
      </c>
      <c r="C53" s="392"/>
      <c r="D53" s="391"/>
      <c r="E53" s="11">
        <f>C53*VLOOKUP(C37,A115:C148,3,FALSE)+VLOOKUP(D37,A115:C144,3,FALSE)*D53</f>
        <v>0</v>
      </c>
      <c r="F53" s="51"/>
      <c r="G53" s="51"/>
      <c r="H53" s="52"/>
      <c r="I53" s="398"/>
      <c r="J53" s="403"/>
      <c r="K53" s="44">
        <f t="shared" si="0"/>
        <v>0</v>
      </c>
      <c r="L53" s="11">
        <f>E53*(1+C117)+I53+J53*(1+C119)</f>
        <v>0</v>
      </c>
      <c r="M53" s="97">
        <f>E53*(1+C126)+I53+J53</f>
        <v>0</v>
      </c>
      <c r="N53" s="97">
        <f>(E53*(1+C120)*(1+C121)+H53*(1+C121)+I53+J53*(1+C119))*1.25</f>
        <v>0</v>
      </c>
    </row>
    <row r="54" spans="1:15" ht="15.75" thickBot="1" x14ac:dyDescent="0.3">
      <c r="A54" s="769"/>
      <c r="B54" s="134" t="s">
        <v>166</v>
      </c>
      <c r="C54" s="393"/>
      <c r="D54" s="394"/>
      <c r="E54" s="135">
        <f>C54*VLOOKUP(C37,A115:C148,3,FALSE)+VLOOKUP(D37,A115:C144,3,FALSE)*D54</f>
        <v>0</v>
      </c>
      <c r="F54" s="136"/>
      <c r="G54" s="136"/>
      <c r="H54" s="137"/>
      <c r="I54" s="399"/>
      <c r="J54" s="404"/>
      <c r="K54" s="135">
        <f t="shared" si="0"/>
        <v>0</v>
      </c>
      <c r="L54" s="135">
        <f>E54*(1+C117)+I54+J54*(1+C119)</f>
        <v>0</v>
      </c>
      <c r="M54" s="138">
        <f>E54*(1+C126)+I54+J54</f>
        <v>0</v>
      </c>
      <c r="N54" s="138">
        <f>(E54*(1+C120)*(1+C121)+H54*(1+C121)+I54+J54*(1+C119))*1.25</f>
        <v>0</v>
      </c>
    </row>
    <row r="55" spans="1:15" ht="15.75" thickBot="1" x14ac:dyDescent="0.3">
      <c r="A55" s="769"/>
      <c r="B55" s="106" t="s">
        <v>24</v>
      </c>
      <c r="C55" s="105"/>
      <c r="D55" s="53"/>
      <c r="E55" s="54"/>
      <c r="F55" s="53"/>
      <c r="G55" s="53"/>
      <c r="H55" s="54"/>
      <c r="I55" s="132"/>
      <c r="J55" s="405"/>
      <c r="K55" s="133">
        <f t="shared" si="0"/>
        <v>0</v>
      </c>
      <c r="L55" s="44">
        <f>E55*(1+C117)+I55+J55*(1+C119)</f>
        <v>0</v>
      </c>
      <c r="M55" s="98">
        <f>E55*(1+C126)+I55+J55</f>
        <v>0</v>
      </c>
      <c r="N55" s="98">
        <f>(E55*(1+C120)*(1+C121)+H55*(1+C121)+I55)*1.25+J55*(1+C119)</f>
        <v>0</v>
      </c>
    </row>
    <row r="56" spans="1:15" ht="14.45" customHeight="1" thickBot="1" x14ac:dyDescent="0.3">
      <c r="A56" s="785" t="s">
        <v>15</v>
      </c>
      <c r="B56" s="786"/>
      <c r="C56" s="45">
        <f>SUM(C39:C55)</f>
        <v>60</v>
      </c>
      <c r="D56" s="45">
        <f>SUM(D39:D55)</f>
        <v>0</v>
      </c>
      <c r="E56" s="46">
        <f>SUM(E39:E53)</f>
        <v>3846.1734939759035</v>
      </c>
      <c r="F56" s="55"/>
      <c r="G56" s="55"/>
      <c r="H56" s="56"/>
      <c r="I56" s="274">
        <f>SUM(I39:I53)</f>
        <v>0</v>
      </c>
      <c r="J56" s="107">
        <f>SUM(J39:J55)</f>
        <v>0</v>
      </c>
      <c r="K56" s="46">
        <f>SUM(K39:K55)</f>
        <v>3846.1734939759035</v>
      </c>
      <c r="L56" s="46">
        <f>SUM(L39:L55)</f>
        <v>7773.8858660240967</v>
      </c>
      <c r="M56" s="99">
        <f>SUM(M39:M55)</f>
        <v>7538.5000481927709</v>
      </c>
      <c r="N56" s="99">
        <f>SUM(N39:N55)</f>
        <v>5050.1944522980721</v>
      </c>
    </row>
    <row r="57" spans="1:15" ht="29.45" customHeight="1" thickBot="1" x14ac:dyDescent="0.3">
      <c r="A57" s="758" t="s">
        <v>143</v>
      </c>
      <c r="B57" s="759"/>
      <c r="C57" s="759"/>
      <c r="D57" s="759"/>
      <c r="E57" s="759"/>
      <c r="F57" s="759"/>
      <c r="G57" s="759"/>
      <c r="H57" s="760"/>
      <c r="I57" s="512">
        <v>0</v>
      </c>
      <c r="J57" s="110"/>
      <c r="K57" s="110"/>
      <c r="L57" s="111"/>
    </row>
    <row r="58" spans="1:15" ht="15.75" customHeight="1" thickBot="1" x14ac:dyDescent="0.3">
      <c r="A58" s="754" t="s">
        <v>123</v>
      </c>
      <c r="B58" s="755"/>
      <c r="C58" s="45">
        <f>IF(I57=0,0,ROUND(C56/I57,0))</f>
        <v>0</v>
      </c>
      <c r="D58" s="45">
        <f>IF(I57=0,0,ROUND(D56/I57,0))</f>
        <v>0</v>
      </c>
      <c r="E58" s="46">
        <f>IF(I57=0,0,ROUND(E56/I57,0))</f>
        <v>0</v>
      </c>
      <c r="F58" s="55"/>
      <c r="G58" s="55"/>
      <c r="H58" s="56"/>
      <c r="I58" s="275">
        <f>IF(I57=0,0,ROUND(I56/I57,0))</f>
        <v>0</v>
      </c>
      <c r="J58" s="46">
        <f>IF(I57=0,0,ROUND(J56/I57,0))</f>
        <v>0</v>
      </c>
      <c r="K58" s="46">
        <f>IF(I57=0,0,ROUND(K56/I57,0))</f>
        <v>0</v>
      </c>
      <c r="L58" s="46">
        <f>IF(I57=0,0,ROUND(L56/I57,0))</f>
        <v>0</v>
      </c>
      <c r="M58" s="90">
        <f>IF(I57=0,0,ROUND(M56/I57,0))</f>
        <v>0</v>
      </c>
      <c r="N58" s="90">
        <f>IF(I57=0,0,ROUND(N56/I57,0))</f>
        <v>0</v>
      </c>
    </row>
    <row r="59" spans="1:15" ht="23.25" customHeight="1" thickBot="1" x14ac:dyDescent="0.3">
      <c r="B59" s="483"/>
      <c r="C59" s="483"/>
      <c r="D59" s="483"/>
      <c r="E59" s="483"/>
      <c r="F59" s="761" t="s">
        <v>126</v>
      </c>
      <c r="G59" s="762"/>
      <c r="H59" s="763"/>
      <c r="I59" s="513">
        <f>C18</f>
        <v>2</v>
      </c>
      <c r="J59" s="483"/>
      <c r="K59" s="483"/>
      <c r="L59" s="484"/>
    </row>
    <row r="60" spans="1:15" ht="15.75" customHeight="1" thickBot="1" x14ac:dyDescent="0.3">
      <c r="A60" s="754" t="s">
        <v>127</v>
      </c>
      <c r="B60" s="755"/>
      <c r="C60" s="45">
        <f>ROUND(C58/I59,0)</f>
        <v>0</v>
      </c>
      <c r="D60" s="45">
        <f>ROUND(D58/I59,0)</f>
        <v>0</v>
      </c>
      <c r="E60" s="46">
        <f>ROUND(E58/I59,0)</f>
        <v>0</v>
      </c>
      <c r="F60" s="55"/>
      <c r="G60" s="55"/>
      <c r="H60" s="56"/>
      <c r="I60" s="46">
        <f>ROUND(I58/I59,0)</f>
        <v>0</v>
      </c>
      <c r="J60" s="46">
        <f>ROUND(J58/I59,0)</f>
        <v>0</v>
      </c>
      <c r="K60" s="46">
        <f>ROUND(K58/I59,0)</f>
        <v>0</v>
      </c>
      <c r="L60" s="46">
        <f>ROUND(L58/I59,0)</f>
        <v>0</v>
      </c>
      <c r="M60" s="90">
        <f>ROUND(M58/I59,0)</f>
        <v>0</v>
      </c>
      <c r="N60" s="90">
        <f>ROUND(N58/I59,0)</f>
        <v>0</v>
      </c>
    </row>
    <row r="61" spans="1:15" ht="15.75" customHeight="1" x14ac:dyDescent="0.25">
      <c r="A61" s="482"/>
      <c r="B61" s="482"/>
      <c r="C61" s="480"/>
      <c r="D61" s="480"/>
      <c r="E61" s="481"/>
      <c r="F61" s="480"/>
      <c r="G61" s="480"/>
      <c r="H61" s="481"/>
      <c r="I61" s="481"/>
      <c r="J61" s="481"/>
      <c r="K61" s="481"/>
      <c r="L61" s="481"/>
      <c r="M61" s="481"/>
      <c r="N61" s="481"/>
      <c r="O61" s="118"/>
    </row>
    <row r="62" spans="1:15" ht="15.75" thickBot="1" x14ac:dyDescent="0.3">
      <c r="A62" s="780" t="s">
        <v>586</v>
      </c>
      <c r="B62" s="780"/>
      <c r="C62" s="488" t="s">
        <v>577</v>
      </c>
      <c r="D62" s="488" t="s">
        <v>578</v>
      </c>
      <c r="E62" s="781" t="s">
        <v>576</v>
      </c>
      <c r="F62" s="781"/>
      <c r="G62" s="781"/>
      <c r="H62" s="781"/>
      <c r="I62" s="781"/>
      <c r="J62" s="781"/>
    </row>
    <row r="63" spans="1:15" ht="15.75" thickBot="1" x14ac:dyDescent="0.3">
      <c r="A63" s="751" t="s">
        <v>125</v>
      </c>
      <c r="B63" s="752"/>
      <c r="C63" s="752"/>
      <c r="D63" s="752"/>
      <c r="E63" s="752"/>
      <c r="F63" s="752"/>
      <c r="G63" s="752"/>
      <c r="H63" s="752"/>
      <c r="I63" s="752"/>
      <c r="J63" s="752"/>
      <c r="K63" s="752"/>
      <c r="L63" s="752"/>
      <c r="M63" s="752"/>
      <c r="N63" s="753"/>
    </row>
    <row r="64" spans="1:15" x14ac:dyDescent="0.25">
      <c r="A64" s="767" t="s">
        <v>29</v>
      </c>
      <c r="B64" s="83" t="s">
        <v>30</v>
      </c>
      <c r="C64" s="406"/>
      <c r="D64" s="406"/>
      <c r="E64" s="84">
        <f>C64*VLOOKUP(C62,A115:C148,3,FALSE)+VLOOKUP(D62,A115:C144,3,FALSE)*D64</f>
        <v>0</v>
      </c>
      <c r="F64" s="85"/>
      <c r="G64" s="85"/>
      <c r="H64" s="86"/>
      <c r="I64" s="408"/>
      <c r="J64" s="409"/>
      <c r="K64" s="84">
        <f t="shared" ref="K64:K82" si="1">SUM(E64:J64)-F64-G64</f>
        <v>0</v>
      </c>
      <c r="L64" s="91">
        <f>E64*(1+C117)+I64+J64*(1+C119)</f>
        <v>0</v>
      </c>
      <c r="M64" s="100">
        <f>E64*(1+C126)+I64+J64</f>
        <v>0</v>
      </c>
      <c r="N64" s="100">
        <f>(E64*(1+C120)*(1+C121)+H64*(1+C121)+I64+J64*(1+C119))*1.25</f>
        <v>0</v>
      </c>
    </row>
    <row r="65" spans="1:14" x14ac:dyDescent="0.25">
      <c r="A65" s="767"/>
      <c r="B65" s="4" t="s">
        <v>31</v>
      </c>
      <c r="C65" s="391"/>
      <c r="D65" s="391"/>
      <c r="E65" s="11">
        <f>C65*VLOOKUP(C62,A115:C148,3,FALSE)+VLOOKUP(D62,A115:C144,3,FALSE)*D65</f>
        <v>0</v>
      </c>
      <c r="F65" s="51"/>
      <c r="G65" s="51"/>
      <c r="H65" s="52"/>
      <c r="I65" s="397"/>
      <c r="J65" s="402"/>
      <c r="K65" s="11">
        <f t="shared" si="1"/>
        <v>0</v>
      </c>
      <c r="L65" s="44">
        <f>E65*(1+C117)+I65+J65*(1+C119)</f>
        <v>0</v>
      </c>
      <c r="M65" s="97">
        <f>E65*(1+C126)+I65+J65</f>
        <v>0</v>
      </c>
      <c r="N65" s="97">
        <f>(E65*(1+C120)*(1+C121)+H65*(1+C121)+I65+J65*(1+C119))*1.25</f>
        <v>0</v>
      </c>
    </row>
    <row r="66" spans="1:14" x14ac:dyDescent="0.25">
      <c r="A66" s="767"/>
      <c r="B66" s="4" t="s">
        <v>32</v>
      </c>
      <c r="C66" s="391"/>
      <c r="D66" s="391"/>
      <c r="E66" s="11">
        <f>C66*VLOOKUP(C62,A115:C148,3,FALSE)+VLOOKUP(D62,A115:C144,3,FALSE)*D66</f>
        <v>0</v>
      </c>
      <c r="F66" s="51"/>
      <c r="G66" s="51"/>
      <c r="H66" s="52"/>
      <c r="I66" s="397"/>
      <c r="J66" s="402"/>
      <c r="K66" s="11">
        <f t="shared" si="1"/>
        <v>0</v>
      </c>
      <c r="L66" s="44">
        <f>E66*(1+C117)+I66+J66*(1+C119)</f>
        <v>0</v>
      </c>
      <c r="M66" s="97">
        <f>E66*(1+C126)+I66+J66</f>
        <v>0</v>
      </c>
      <c r="N66" s="97">
        <f>(E66*(1+C120)*(1+C121)+H66*(1+C121)+I66+J66*(1+C119))*1.25</f>
        <v>0</v>
      </c>
    </row>
    <row r="67" spans="1:14" x14ac:dyDescent="0.25">
      <c r="A67" s="767"/>
      <c r="B67" s="4" t="s">
        <v>33</v>
      </c>
      <c r="C67" s="391">
        <v>2</v>
      </c>
      <c r="D67" s="391"/>
      <c r="E67" s="11">
        <f>C67*VLOOKUP(C62,A115:C148,3,FALSE)+VLOOKUP(D62,A115:C144,3,FALSE)*D67</f>
        <v>128.20578313253012</v>
      </c>
      <c r="F67" s="51"/>
      <c r="G67" s="51"/>
      <c r="H67" s="52"/>
      <c r="I67" s="397"/>
      <c r="J67" s="402"/>
      <c r="K67" s="11">
        <f t="shared" si="1"/>
        <v>128.20578313253012</v>
      </c>
      <c r="L67" s="44">
        <f>E67*(1+C117)+I67+J67*(1+C119)</f>
        <v>259.1295288674699</v>
      </c>
      <c r="M67" s="97">
        <f>E67*(1+C126)+I67+J67</f>
        <v>251.28333493975902</v>
      </c>
      <c r="N67" s="97">
        <f>(E67*(1+C120)*(1+C121)+H67*(1+C121)+I67+J67*(1+C119))*1.25</f>
        <v>168.33981507660241</v>
      </c>
    </row>
    <row r="68" spans="1:14" x14ac:dyDescent="0.25">
      <c r="A68" s="767"/>
      <c r="B68" s="4" t="s">
        <v>34</v>
      </c>
      <c r="C68" s="391"/>
      <c r="D68" s="391"/>
      <c r="E68" s="11">
        <f>C68*VLOOKUP(C62,A115:C148,3,FALSE)+VLOOKUP(D62,A115:C144,3,FALSE)*D68</f>
        <v>0</v>
      </c>
      <c r="F68" s="51"/>
      <c r="G68" s="51"/>
      <c r="H68" s="52"/>
      <c r="I68" s="397"/>
      <c r="J68" s="402"/>
      <c r="K68" s="11">
        <f t="shared" si="1"/>
        <v>0</v>
      </c>
      <c r="L68" s="44">
        <f>E68*(1+C117)+I68+J68*(1+C119)</f>
        <v>0</v>
      </c>
      <c r="M68" s="97">
        <f>E68*(1+C126)+I68+J68</f>
        <v>0</v>
      </c>
      <c r="N68" s="97">
        <f>(E68*(1+C120)*(1+C121)+H68*(1+C121)+I68+J68*(1+C119))*1.25</f>
        <v>0</v>
      </c>
    </row>
    <row r="69" spans="1:14" x14ac:dyDescent="0.25">
      <c r="A69" s="765"/>
      <c r="B69" s="5" t="s">
        <v>35</v>
      </c>
      <c r="C69" s="391"/>
      <c r="D69" s="391"/>
      <c r="E69" s="11">
        <f>C69*VLOOKUP(C62,A115:C148,3,FALSE)+VLOOKUP(D62,A115:C144,3,FALSE)*D69</f>
        <v>0</v>
      </c>
      <c r="F69" s="51"/>
      <c r="G69" s="51"/>
      <c r="H69" s="52"/>
      <c r="I69" s="397"/>
      <c r="J69" s="402"/>
      <c r="K69" s="11">
        <f t="shared" si="1"/>
        <v>0</v>
      </c>
      <c r="L69" s="44">
        <f>E69*(1+C117)+I69+J69*(1+C119)</f>
        <v>0</v>
      </c>
      <c r="M69" s="97">
        <f>E69*(1+C126)+I69+J69</f>
        <v>0</v>
      </c>
      <c r="N69" s="97">
        <f>(E69*(1+C120)*(1+C121)+H69*(1+C121)+I69+J69*(1+C119))*1.25</f>
        <v>0</v>
      </c>
    </row>
    <row r="70" spans="1:14" x14ac:dyDescent="0.25">
      <c r="A70" s="770" t="s">
        <v>147</v>
      </c>
      <c r="B70" s="490" t="s">
        <v>713</v>
      </c>
      <c r="C70" s="391">
        <v>2</v>
      </c>
      <c r="D70" s="391"/>
      <c r="E70" s="11">
        <f>C70*VLOOKUP(C62,A115:C148,3,FALSE)+VLOOKUP(D62,A115:C144,3,FALSE)*D70</f>
        <v>128.20578313253012</v>
      </c>
      <c r="F70" s="51"/>
      <c r="G70" s="51"/>
      <c r="H70" s="52"/>
      <c r="I70" s="397"/>
      <c r="J70" s="402"/>
      <c r="K70" s="11">
        <f t="shared" si="1"/>
        <v>128.20578313253012</v>
      </c>
      <c r="L70" s="44">
        <f>E70*(1+C117)+I70+J70*(1+C119)</f>
        <v>259.1295288674699</v>
      </c>
      <c r="M70" s="97">
        <f>E70*(1+C126)+I70+J70</f>
        <v>251.28333493975902</v>
      </c>
      <c r="N70" s="97">
        <f>(E70*(1+C120)*(1+C121)+H70*(1+C121)+I70+J70*(1+C119))*1.25</f>
        <v>168.33981507660241</v>
      </c>
    </row>
    <row r="71" spans="1:14" x14ac:dyDescent="0.25">
      <c r="A71" s="771"/>
      <c r="B71" s="490" t="s">
        <v>148</v>
      </c>
      <c r="C71" s="391"/>
      <c r="D71" s="391"/>
      <c r="E71" s="11">
        <f>C71*VLOOKUP(C62,A115:C148,3,FALSE)+VLOOKUP(D62,A115:C144,3,FALSE)*D71</f>
        <v>0</v>
      </c>
      <c r="F71" s="51"/>
      <c r="G71" s="51"/>
      <c r="H71" s="52"/>
      <c r="I71" s="397"/>
      <c r="J71" s="402"/>
      <c r="K71" s="11">
        <f t="shared" si="1"/>
        <v>0</v>
      </c>
      <c r="L71" s="44">
        <f>E71*(1+C117)+I71+J71*(1+C119)</f>
        <v>0</v>
      </c>
      <c r="M71" s="97">
        <f>E71*(1+C126)+I71+J71</f>
        <v>0</v>
      </c>
      <c r="N71" s="97">
        <f>(E71*(1+C120)*(1+C121)+H71*(1+C121)+I71+J71*(1+C119))*1.25</f>
        <v>0</v>
      </c>
    </row>
    <row r="72" spans="1:14" x14ac:dyDescent="0.25">
      <c r="A72" s="771"/>
      <c r="B72" s="490" t="s">
        <v>148</v>
      </c>
      <c r="C72" s="391"/>
      <c r="D72" s="391"/>
      <c r="E72" s="11">
        <f>C72*VLOOKUP(C62,A115:C148,3,FALSE)+VLOOKUP(D62,A115:C144,3,FALSE)*D72</f>
        <v>0</v>
      </c>
      <c r="F72" s="51"/>
      <c r="G72" s="51"/>
      <c r="H72" s="52"/>
      <c r="I72" s="397"/>
      <c r="J72" s="402"/>
      <c r="K72" s="11">
        <f t="shared" si="1"/>
        <v>0</v>
      </c>
      <c r="L72" s="44">
        <f>E72*(1+C117)+I72+J72*(1+C119)</f>
        <v>0</v>
      </c>
      <c r="M72" s="97">
        <f>E72*(1+C126)+I72+J72</f>
        <v>0</v>
      </c>
      <c r="N72" s="97">
        <f>(E72*(1+C120)*(1+C121)+H72*(1+C121)+I72+J72*(1+C119))*1.25</f>
        <v>0</v>
      </c>
    </row>
    <row r="73" spans="1:14" x14ac:dyDescent="0.25">
      <c r="A73" s="771"/>
      <c r="B73" s="490" t="s">
        <v>148</v>
      </c>
      <c r="C73" s="391"/>
      <c r="D73" s="391"/>
      <c r="E73" s="11">
        <f>C73*VLOOKUP(C62,A115:C148,3,FALSE)+VLOOKUP(D62,A115:C144,3,FALSE)*D73</f>
        <v>0</v>
      </c>
      <c r="F73" s="51"/>
      <c r="G73" s="51"/>
      <c r="H73" s="52"/>
      <c r="I73" s="397"/>
      <c r="J73" s="402"/>
      <c r="K73" s="11">
        <f t="shared" si="1"/>
        <v>0</v>
      </c>
      <c r="L73" s="44">
        <f>E73*(1+C117)+I73+J73*(1+C119)</f>
        <v>0</v>
      </c>
      <c r="M73" s="97">
        <f>E73*(1+C126)+I73+J73</f>
        <v>0</v>
      </c>
      <c r="N73" s="97">
        <f>(E73*(1+C120)*(1+C121)+H73*(1+C121)+I73+J73*(1+C119))*1.25</f>
        <v>0</v>
      </c>
    </row>
    <row r="74" spans="1:14" ht="15.75" thickBot="1" x14ac:dyDescent="0.3">
      <c r="A74" s="772"/>
      <c r="B74" s="490" t="s">
        <v>148</v>
      </c>
      <c r="C74" s="407"/>
      <c r="D74" s="407"/>
      <c r="E74" s="11">
        <f>C74*VLOOKUP(C62,A115:C148,3,FALSE)+VLOOKUP(D62,A115:C144,3,FALSE)*D74</f>
        <v>0</v>
      </c>
      <c r="F74" s="53"/>
      <c r="G74" s="53"/>
      <c r="H74" s="52"/>
      <c r="I74" s="397"/>
      <c r="J74" s="402"/>
      <c r="K74" s="11">
        <f t="shared" si="1"/>
        <v>0</v>
      </c>
      <c r="L74" s="44">
        <f>E74*(1+C117)+I74+J74*(1+C119)</f>
        <v>0</v>
      </c>
      <c r="M74" s="97">
        <f>E74*(1+C126)+I74+J74</f>
        <v>0</v>
      </c>
      <c r="N74" s="97">
        <f>(E74*(1+C120)*(1+C121)+H74*(1+C121)+I74+J74*(1+C119))*1.25</f>
        <v>0</v>
      </c>
    </row>
    <row r="75" spans="1:14" ht="30.75" thickTop="1" x14ac:dyDescent="0.25">
      <c r="A75" s="764" t="s">
        <v>36</v>
      </c>
      <c r="B75" s="367" t="s">
        <v>561</v>
      </c>
      <c r="C75" s="508">
        <v>1</v>
      </c>
      <c r="D75" s="509">
        <v>1</v>
      </c>
      <c r="E75" s="368">
        <f>C75*VLOOKUP(C62,A115:C148,3,FALSE)+VLOOKUP(D62,A115:C144,3,FALSE)*D75</f>
        <v>107.7702599873177</v>
      </c>
      <c r="F75" s="642">
        <f>7.25+11.5*2</f>
        <v>30.25</v>
      </c>
      <c r="G75" s="503"/>
      <c r="H75" s="104">
        <f>F75*C123+C122*G75</f>
        <v>1872.7775000000001</v>
      </c>
      <c r="I75" s="397"/>
      <c r="J75" s="402"/>
      <c r="K75" s="11">
        <f>SUM(E75:J75)-F75-G75</f>
        <v>1980.5477599873179</v>
      </c>
      <c r="L75" s="44">
        <f>E75*(1+C117)+H75*(1+C118)+I75+J75*(1+C119)</f>
        <v>3974.0550812363667</v>
      </c>
      <c r="M75" s="97">
        <f>E75*(1+C126)+H75*(1+C126)+I75+J75</f>
        <v>3881.8736095751428</v>
      </c>
      <c r="N75" s="97">
        <f>(E75*(1+C120)*(1+C121)+H75*(1+C121)+I75+J75*(1+C119))*1.25</f>
        <v>2562.7742874017486</v>
      </c>
    </row>
    <row r="76" spans="1:14" ht="30.75" thickBot="1" x14ac:dyDescent="0.3">
      <c r="A76" s="767"/>
      <c r="B76" s="506" t="s">
        <v>605</v>
      </c>
      <c r="C76" s="510"/>
      <c r="D76" s="511"/>
      <c r="E76" s="368">
        <f>C76*VLOOKUP(C62,A115:C148,3,FALSE)+VLOOKUP(D62,A115:C144,3,FALSE)*D76</f>
        <v>0</v>
      </c>
      <c r="F76" s="504"/>
      <c r="G76" s="505"/>
      <c r="H76" s="104">
        <f>F76*C123+C122*G76</f>
        <v>0</v>
      </c>
      <c r="I76" s="397"/>
      <c r="J76" s="403"/>
      <c r="K76" s="11">
        <f t="shared" si="1"/>
        <v>0</v>
      </c>
      <c r="L76" s="44">
        <f>E76*(1+C117)+H76*(1+C118)+I76+J76*(1+C119)</f>
        <v>0</v>
      </c>
      <c r="M76" s="97">
        <f>E76*(1+C126)+H76*(1+C126)+I76+J76</f>
        <v>0</v>
      </c>
      <c r="N76" s="97">
        <f>(E76*(1+C120)*(1+C121)+H76*(1+C121)+I76+J76*(1+C119))*1.25</f>
        <v>0</v>
      </c>
    </row>
    <row r="77" spans="1:14" ht="31.5" thickTop="1" thickBot="1" x14ac:dyDescent="0.3">
      <c r="A77" s="773"/>
      <c r="B77" s="4" t="s">
        <v>560</v>
      </c>
      <c r="C77" s="507"/>
      <c r="D77" s="85"/>
      <c r="E77" s="52"/>
      <c r="F77" s="86"/>
      <c r="G77" s="86"/>
      <c r="H77" s="57"/>
      <c r="I77" s="108"/>
      <c r="J77" s="410"/>
      <c r="K77" s="104">
        <f t="shared" si="1"/>
        <v>0</v>
      </c>
      <c r="L77" s="44">
        <f>E77*(1+C117)+I77+J77*(1+C119)</f>
        <v>0</v>
      </c>
      <c r="M77" s="97">
        <f>E77*(1+C126)+I77+J77</f>
        <v>0</v>
      </c>
      <c r="N77" s="97">
        <f>(E77*(1+C120)*(1+C121)+H77*(1+C121)+I77)*1.25+J77*(1+C119)</f>
        <v>0</v>
      </c>
    </row>
    <row r="78" spans="1:14" ht="15.75" thickTop="1" x14ac:dyDescent="0.25">
      <c r="A78" s="764" t="s">
        <v>44</v>
      </c>
      <c r="B78" s="83" t="s">
        <v>45</v>
      </c>
      <c r="C78" s="411"/>
      <c r="D78" s="411"/>
      <c r="E78" s="11">
        <f>C78*VLOOKUP(C62,A115:C148,3,FALSE)+VLOOKUP(D62,A115:C144,3,FALSE)*D78</f>
        <v>0</v>
      </c>
      <c r="F78" s="52"/>
      <c r="G78" s="52"/>
      <c r="H78" s="57"/>
      <c r="I78" s="397"/>
      <c r="J78" s="409"/>
      <c r="K78" s="11">
        <f t="shared" si="1"/>
        <v>0</v>
      </c>
      <c r="L78" s="44">
        <f>E78*(1+C117)+I78+J78*(1+C119)</f>
        <v>0</v>
      </c>
      <c r="M78" s="97">
        <f>E78*(1+C126)+I78+J78</f>
        <v>0</v>
      </c>
      <c r="N78" s="97">
        <f>(E78*(1+C120)*(1+C121)+H78*(1+C121)+I78+J78*(1+C119))*1.25</f>
        <v>0</v>
      </c>
    </row>
    <row r="79" spans="1:14" x14ac:dyDescent="0.25">
      <c r="A79" s="765"/>
      <c r="B79" s="4" t="s">
        <v>46</v>
      </c>
      <c r="C79" s="411"/>
      <c r="D79" s="411"/>
      <c r="E79" s="11">
        <f>C79*VLOOKUP(C62,A115:C148,3,FALSE)+VLOOKUP(D62,A115:C144,3,FALSE)*D79</f>
        <v>0</v>
      </c>
      <c r="F79" s="52"/>
      <c r="G79" s="52"/>
      <c r="H79" s="57"/>
      <c r="I79" s="397"/>
      <c r="J79" s="402"/>
      <c r="K79" s="11">
        <f t="shared" si="1"/>
        <v>0</v>
      </c>
      <c r="L79" s="44">
        <f>E79*(1+C117)+I79+J79*(1+C119)</f>
        <v>0</v>
      </c>
      <c r="M79" s="97">
        <f>E79*(1+C126)+I79+J79</f>
        <v>0</v>
      </c>
      <c r="N79" s="97">
        <f>(E79*(1+C120)*(1+C121)+H79*(1+C121)+I79+J79*(1+C119))*1.25</f>
        <v>0</v>
      </c>
    </row>
    <row r="80" spans="1:14" x14ac:dyDescent="0.25">
      <c r="A80" s="764" t="s">
        <v>47</v>
      </c>
      <c r="B80" s="4" t="s">
        <v>49</v>
      </c>
      <c r="C80" s="641">
        <v>2</v>
      </c>
      <c r="D80" s="641">
        <v>5</v>
      </c>
      <c r="E80" s="11">
        <f>C80*VLOOKUP(C62,A115:C148,3,FALSE)+VLOOKUP(D62,A115:C144,3,FALSE)*D80</f>
        <v>346.54262523779329</v>
      </c>
      <c r="F80" s="52"/>
      <c r="G80" s="52"/>
      <c r="H80" s="57"/>
      <c r="I80" s="397"/>
      <c r="J80" s="402"/>
      <c r="K80" s="11">
        <f t="shared" si="1"/>
        <v>346.54262523779329</v>
      </c>
      <c r="L80" s="44">
        <f>E80*(1+C117)+I80+J80*(1+C119)</f>
        <v>700.4319541306279</v>
      </c>
      <c r="M80" s="97">
        <f>E80*(1+C126)+I80+J80</f>
        <v>679.22354546607482</v>
      </c>
      <c r="N80" s="97">
        <f>(E80*(1+C120)*(1+C121)+H80*(1+C121)+I80+J80*(1+C119))*1.25</f>
        <v>455.02566283133922</v>
      </c>
    </row>
    <row r="81" spans="1:14" x14ac:dyDescent="0.25">
      <c r="A81" s="765"/>
      <c r="B81" s="4" t="s">
        <v>48</v>
      </c>
      <c r="C81" s="641"/>
      <c r="D81" s="641">
        <v>2</v>
      </c>
      <c r="E81" s="11">
        <f>C81*VLOOKUP(C62,A115:C148,3,FALSE)+VLOOKUP(D62,A115:C144,3,FALSE)*D81</f>
        <v>87.334736842105272</v>
      </c>
      <c r="F81" s="52"/>
      <c r="G81" s="52"/>
      <c r="H81" s="57"/>
      <c r="I81" s="397"/>
      <c r="J81" s="402"/>
      <c r="K81" s="11">
        <f t="shared" si="1"/>
        <v>87.334736842105272</v>
      </c>
      <c r="L81" s="44">
        <f>E81*(1+C117)+I81+J81*(1+C119)</f>
        <v>176.52097010526322</v>
      </c>
      <c r="M81" s="97">
        <f>E81*(1+C126)+I81+J81</f>
        <v>171.17608421052634</v>
      </c>
      <c r="N81" s="97">
        <f>(E81*(1+C120)*(1+C121)+H81*(1+C121)+I81+J81*(1+C119))*1.25</f>
        <v>114.67433910189473</v>
      </c>
    </row>
    <row r="82" spans="1:14" ht="30" x14ac:dyDescent="0.25">
      <c r="A82" s="276" t="s">
        <v>94</v>
      </c>
      <c r="B82" s="6" t="s">
        <v>368</v>
      </c>
      <c r="C82" s="51"/>
      <c r="D82" s="51"/>
      <c r="E82" s="52"/>
      <c r="F82" s="52"/>
      <c r="G82" s="52"/>
      <c r="H82" s="57"/>
      <c r="I82" s="402"/>
      <c r="J82" s="11">
        <f>'Coûts installations'!D10</f>
        <v>0</v>
      </c>
      <c r="K82" s="11">
        <f t="shared" si="1"/>
        <v>0</v>
      </c>
      <c r="L82" s="44">
        <f>E82*(1+C117)+I82+J82*(1+C119)</f>
        <v>0</v>
      </c>
      <c r="M82" s="97">
        <f>E82*(1+C126)+I82+J82</f>
        <v>0</v>
      </c>
      <c r="N82" s="97">
        <f>(E82*(1+C120)*(1+C121)+H82*(1+C121)+I82)*1.25+J82*(1+C119)</f>
        <v>0</v>
      </c>
    </row>
    <row r="83" spans="1:14" ht="30" x14ac:dyDescent="0.25">
      <c r="A83" s="278"/>
      <c r="B83" s="6" t="s">
        <v>369</v>
      </c>
      <c r="C83" s="142">
        <f>LMS!B17/VLOOKUP(C62,A115:C144,3,FALSE)</f>
        <v>0</v>
      </c>
      <c r="D83" s="51"/>
      <c r="E83" s="11">
        <f>C83*VLOOKUP(C62,A115:C148,3,FALSE)+VLOOKUP(D62,A115:C144,3,FALSE)*D83</f>
        <v>0</v>
      </c>
      <c r="F83" s="52"/>
      <c r="G83" s="52"/>
      <c r="H83" s="57"/>
      <c r="I83" s="402"/>
      <c r="J83" s="11">
        <f>LMS!B11+LMS!B14+LMS!B17</f>
        <v>0</v>
      </c>
      <c r="K83" s="11">
        <f>IF(LMS!B14&gt;0,SUM(E83:J83)-F83-G83-LMS!B52*LMS!B3,SUM(E83:J83)-F83-G83)</f>
        <v>0</v>
      </c>
      <c r="L83" s="44">
        <f>E83*(1+C117)+I83+J83*(1+C119)</f>
        <v>0</v>
      </c>
      <c r="M83" s="97">
        <f>E83*(1+C126)+I83+J83</f>
        <v>0</v>
      </c>
      <c r="N83" s="97">
        <f>(E83*(1+C120)*(1+C121)+H83*(1+C121)+I83)*1.25+J83*(1+C119)</f>
        <v>0</v>
      </c>
    </row>
    <row r="84" spans="1:14" x14ac:dyDescent="0.25">
      <c r="A84" s="278"/>
      <c r="B84" s="4" t="s">
        <v>56</v>
      </c>
      <c r="C84" s="51"/>
      <c r="D84" s="51"/>
      <c r="E84" s="52"/>
      <c r="F84" s="52"/>
      <c r="G84" s="52"/>
      <c r="H84" s="57"/>
      <c r="I84" s="402"/>
      <c r="J84" s="402"/>
      <c r="K84" s="11">
        <f t="shared" ref="K84:K103" si="2">SUM(E84:J84)-F84-G84</f>
        <v>0</v>
      </c>
      <c r="L84" s="44">
        <f>E84*(1+C117)+I84+J84*(1+C119)</f>
        <v>0</v>
      </c>
      <c r="M84" s="97">
        <f>E84*(1+C126)+I84+J84</f>
        <v>0</v>
      </c>
      <c r="N84" s="97">
        <f>(E84*(1+C120)*(1+C121)+H84*(1+C121)+I84)*1.25+J84*(1+C119)</f>
        <v>0</v>
      </c>
    </row>
    <row r="85" spans="1:14" ht="30" x14ac:dyDescent="0.25">
      <c r="A85" s="278"/>
      <c r="B85" s="6" t="s">
        <v>95</v>
      </c>
      <c r="C85" s="51"/>
      <c r="D85" s="51"/>
      <c r="E85" s="52"/>
      <c r="F85" s="52"/>
      <c r="G85" s="52"/>
      <c r="H85" s="57"/>
      <c r="I85" s="402"/>
      <c r="J85" s="11">
        <f>'Coûts installations'!D13</f>
        <v>400</v>
      </c>
      <c r="K85" s="11">
        <f t="shared" si="2"/>
        <v>400</v>
      </c>
      <c r="L85" s="44">
        <f>E85*(1+C117)+I85+J85*(1+C119)</f>
        <v>412.8</v>
      </c>
      <c r="M85" s="97">
        <f>E85*(1+C126)+I85+J85</f>
        <v>400</v>
      </c>
      <c r="N85" s="97">
        <f>(E85*(1+C120)*(1+C121)+H85*(1+C121)+I85)*1.25+J85*(1+C119)</f>
        <v>412.8</v>
      </c>
    </row>
    <row r="86" spans="1:14" x14ac:dyDescent="0.25">
      <c r="A86" s="277"/>
      <c r="B86" s="4" t="s">
        <v>89</v>
      </c>
      <c r="C86" s="51"/>
      <c r="D86" s="51"/>
      <c r="E86" s="52"/>
      <c r="F86" s="52"/>
      <c r="G86" s="52"/>
      <c r="H86" s="57"/>
      <c r="I86" s="402"/>
      <c r="J86" s="402"/>
      <c r="K86" s="11">
        <f t="shared" si="2"/>
        <v>0</v>
      </c>
      <c r="L86" s="44">
        <f>E86*(1+C117)+I86+J86*(1+C119)</f>
        <v>0</v>
      </c>
      <c r="M86" s="97">
        <f>E86*(1+C126)+I86+J86</f>
        <v>0</v>
      </c>
      <c r="N86" s="97">
        <f>(E86*(1+C120)*(1+C121)+H86*(1+C121)+I86+J86*(1+C119))*1.25</f>
        <v>0</v>
      </c>
    </row>
    <row r="87" spans="1:14" x14ac:dyDescent="0.25">
      <c r="A87" s="764" t="s">
        <v>102</v>
      </c>
      <c r="B87" s="4" t="s">
        <v>99</v>
      </c>
      <c r="C87" s="51"/>
      <c r="D87" s="51"/>
      <c r="E87" s="52"/>
      <c r="F87" s="52"/>
      <c r="G87" s="52"/>
      <c r="H87" s="57"/>
      <c r="I87" s="397"/>
      <c r="J87" s="11">
        <f>'Coûts frais variables'!E14</f>
        <v>0</v>
      </c>
      <c r="K87" s="11">
        <f t="shared" si="2"/>
        <v>0</v>
      </c>
      <c r="L87" s="44">
        <f>E87*(1+C117)+I87+J87*(1+C119)</f>
        <v>0</v>
      </c>
      <c r="M87" s="97">
        <f>E87*(1+C126)+I87+J87</f>
        <v>0</v>
      </c>
      <c r="N87" s="97">
        <f>(E87*(1+C120)*(1+C121)+H87*(1+C121)+I87+J87*(1+C119))*1.25</f>
        <v>0</v>
      </c>
    </row>
    <row r="88" spans="1:14" x14ac:dyDescent="0.25">
      <c r="A88" s="767"/>
      <c r="B88" s="4" t="s">
        <v>90</v>
      </c>
      <c r="C88" s="51"/>
      <c r="D88" s="51"/>
      <c r="E88" s="52"/>
      <c r="F88" s="52"/>
      <c r="G88" s="52"/>
      <c r="H88" s="57"/>
      <c r="I88" s="397"/>
      <c r="J88" s="11">
        <f>'Coûts frais variables'!E15</f>
        <v>187.5</v>
      </c>
      <c r="K88" s="11">
        <f t="shared" si="2"/>
        <v>187.5</v>
      </c>
      <c r="L88" s="44">
        <f>E88*(1+C117)+I88+J88*(1+C119)</f>
        <v>193.5</v>
      </c>
      <c r="M88" s="97">
        <f>E88*(1+C126)+I88+J88</f>
        <v>187.5</v>
      </c>
      <c r="N88" s="97">
        <f>(E88*(1+C120)*(1+C121)+H88*(1+C121)+I88+J88*(1+C119))*1.25</f>
        <v>241.875</v>
      </c>
    </row>
    <row r="89" spans="1:14" x14ac:dyDescent="0.25">
      <c r="A89" s="767"/>
      <c r="B89" s="4" t="s">
        <v>96</v>
      </c>
      <c r="C89" s="51"/>
      <c r="D89" s="51"/>
      <c r="E89" s="52"/>
      <c r="F89" s="52"/>
      <c r="G89" s="52"/>
      <c r="H89" s="57"/>
      <c r="I89" s="397"/>
      <c r="J89" s="11">
        <f>'Coûts frais variables'!E16</f>
        <v>0</v>
      </c>
      <c r="K89" s="11">
        <f t="shared" si="2"/>
        <v>0</v>
      </c>
      <c r="L89" s="44">
        <f>E89*(1+C117)+I89+J89*(1+C119)</f>
        <v>0</v>
      </c>
      <c r="M89" s="97">
        <f>E89*(1+C126)+I89+J89</f>
        <v>0</v>
      </c>
      <c r="N89" s="97">
        <f>(E89*(1+C120)*(1+C121)+H89*(1+C121)+I89+J89*(1+C119))*1.25</f>
        <v>0</v>
      </c>
    </row>
    <row r="90" spans="1:14" x14ac:dyDescent="0.25">
      <c r="A90" s="767"/>
      <c r="B90" s="5" t="s">
        <v>101</v>
      </c>
      <c r="C90" s="51"/>
      <c r="D90" s="51"/>
      <c r="E90" s="52"/>
      <c r="F90" s="52"/>
      <c r="G90" s="52"/>
      <c r="H90" s="57"/>
      <c r="I90" s="397"/>
      <c r="J90" s="11">
        <f>'Coûts frais variables'!E17</f>
        <v>0</v>
      </c>
      <c r="K90" s="11">
        <f t="shared" si="2"/>
        <v>0</v>
      </c>
      <c r="L90" s="44">
        <f>E90*(1+C117)+I90+J90*(1+C119)</f>
        <v>0</v>
      </c>
      <c r="M90" s="97">
        <f>E90*(1+C126)+I90+J90</f>
        <v>0</v>
      </c>
      <c r="N90" s="97">
        <f>(E90*(1+C120)*(1+C121)+H90*(1+C121)+I90+J90*(1+C119))*1.25</f>
        <v>0</v>
      </c>
    </row>
    <row r="91" spans="1:14" x14ac:dyDescent="0.25">
      <c r="A91" s="767"/>
      <c r="B91" s="5" t="s">
        <v>100</v>
      </c>
      <c r="C91" s="51"/>
      <c r="D91" s="51"/>
      <c r="E91" s="52"/>
      <c r="F91" s="52"/>
      <c r="G91" s="52"/>
      <c r="H91" s="57"/>
      <c r="I91" s="397"/>
      <c r="J91" s="79">
        <f>'Coûts frais variables'!E10</f>
        <v>337.55999999999995</v>
      </c>
      <c r="K91" s="11">
        <f t="shared" si="2"/>
        <v>337.55999999999995</v>
      </c>
      <c r="L91" s="44">
        <f>E91*(1+C117)+I91+J91*(1+C119)</f>
        <v>348.36191999999994</v>
      </c>
      <c r="M91" s="97">
        <f>E91*(1+C126)+I91+J91</f>
        <v>337.55999999999995</v>
      </c>
      <c r="N91" s="97">
        <f>(E91*(1+C120)*(1+C121)+H91*(1+C121)+I91+J91*(1+C119))*1.25</f>
        <v>435.4523999999999</v>
      </c>
    </row>
    <row r="92" spans="1:14" x14ac:dyDescent="0.25">
      <c r="A92" s="767"/>
      <c r="B92" s="113" t="str">
        <f>'Coûts frais variables'!A18</f>
        <v>Accès aux télémanipulateurs</v>
      </c>
      <c r="C92" s="51"/>
      <c r="D92" s="51"/>
      <c r="E92" s="52"/>
      <c r="F92" s="52"/>
      <c r="G92" s="52"/>
      <c r="H92" s="57"/>
      <c r="I92" s="397"/>
      <c r="J92" s="79">
        <f>'Coûts frais variables'!E18</f>
        <v>1200</v>
      </c>
      <c r="K92" s="11">
        <f t="shared" si="2"/>
        <v>1200</v>
      </c>
      <c r="L92" s="44">
        <f>E92*(1+C117)+I92+J92*(1+C119)</f>
        <v>1238.4000000000001</v>
      </c>
      <c r="M92" s="97">
        <f>E92*(1+C126)+I92+J92</f>
        <v>1200</v>
      </c>
      <c r="N92" s="97">
        <f>(E92*(1+C120)*(1+C121)+H92*(1+C121)+I92+J92*(1+C119))*1.25</f>
        <v>1548</v>
      </c>
    </row>
    <row r="93" spans="1:14" x14ac:dyDescent="0.25">
      <c r="A93" s="767"/>
      <c r="B93" s="113" t="str">
        <f>'Coûts frais variables'!A19</f>
        <v>Libellé libre frais variable à saisir si besoin (onglet frais var)</v>
      </c>
      <c r="C93" s="51"/>
      <c r="D93" s="51"/>
      <c r="E93" s="52"/>
      <c r="F93" s="52"/>
      <c r="G93" s="52"/>
      <c r="H93" s="57"/>
      <c r="I93" s="397"/>
      <c r="J93" s="79">
        <f>'Coûts frais variables'!E19</f>
        <v>0</v>
      </c>
      <c r="K93" s="11">
        <f t="shared" si="2"/>
        <v>0</v>
      </c>
      <c r="L93" s="44">
        <f>E93*(1+C117)+I93+J93*(1+C119)</f>
        <v>0</v>
      </c>
      <c r="M93" s="97">
        <f>E93*(1+C126)+I93+J93</f>
        <v>0</v>
      </c>
      <c r="N93" s="97">
        <f>(E93*(1+C120)*(1+C121)+H93*(1+C121)+I93+J93*(1+C119))*1.25</f>
        <v>0</v>
      </c>
    </row>
    <row r="94" spans="1:14" x14ac:dyDescent="0.25">
      <c r="A94" s="767"/>
      <c r="B94" s="113" t="str">
        <f>'Coûts frais variables'!A20</f>
        <v>Libellé libre frais variable à saisir si besoin (onglet frais var)</v>
      </c>
      <c r="C94" s="51"/>
      <c r="D94" s="51"/>
      <c r="E94" s="52"/>
      <c r="F94" s="52"/>
      <c r="G94" s="52"/>
      <c r="H94" s="57"/>
      <c r="I94" s="397"/>
      <c r="J94" s="79">
        <f>'Coûts frais variables'!E20</f>
        <v>0</v>
      </c>
      <c r="K94" s="11">
        <f t="shared" si="2"/>
        <v>0</v>
      </c>
      <c r="L94" s="44">
        <f>E94*(1+C117)+I94+J94*(1+C119)</f>
        <v>0</v>
      </c>
      <c r="M94" s="97">
        <f>E94*(1+C126)+I94+J94</f>
        <v>0</v>
      </c>
      <c r="N94" s="97">
        <f>(E94*(1+C120)*(1+C121)+H94*(1+C121)+I94+J94*(1+C119))*1.25</f>
        <v>0</v>
      </c>
    </row>
    <row r="95" spans="1:14" x14ac:dyDescent="0.25">
      <c r="A95" s="767"/>
      <c r="B95" s="113" t="str">
        <f>'Coûts frais variables'!A21</f>
        <v>Libellé libre frais variable à saisir si besoin (onglet frais var)</v>
      </c>
      <c r="C95" s="51"/>
      <c r="D95" s="51"/>
      <c r="E95" s="52"/>
      <c r="F95" s="52"/>
      <c r="G95" s="52"/>
      <c r="H95" s="57"/>
      <c r="I95" s="397"/>
      <c r="J95" s="79">
        <f>'Coûts frais variables'!E21</f>
        <v>0</v>
      </c>
      <c r="K95" s="11">
        <f t="shared" si="2"/>
        <v>0</v>
      </c>
      <c r="L95" s="44">
        <f>E95*(1+C117)+I95+J95*(1+C119)</f>
        <v>0</v>
      </c>
      <c r="M95" s="97">
        <f>E95*(1+C126)+I95+J95</f>
        <v>0</v>
      </c>
      <c r="N95" s="97">
        <f>(E95*(1+C120)*(1+C121)+H95*(1+C121)+I95+J95*(1+C119))*1.25</f>
        <v>0</v>
      </c>
    </row>
    <row r="96" spans="1:14" x14ac:dyDescent="0.25">
      <c r="A96" s="764" t="s">
        <v>121</v>
      </c>
      <c r="B96" s="4" t="s">
        <v>115</v>
      </c>
      <c r="C96" s="391"/>
      <c r="D96" s="391"/>
      <c r="E96" s="11">
        <f>C96*VLOOKUP(C62,A115:C148,3,FALSE)+VLOOKUP(D62,A115:C144,3,FALSE)*D96</f>
        <v>0</v>
      </c>
      <c r="F96" s="52"/>
      <c r="G96" s="52"/>
      <c r="H96" s="57"/>
      <c r="I96" s="397"/>
      <c r="J96" s="402"/>
      <c r="K96" s="11">
        <f t="shared" si="2"/>
        <v>0</v>
      </c>
      <c r="L96" s="44">
        <f>E96*(1+C117)+I96+J96*(1+C119)</f>
        <v>0</v>
      </c>
      <c r="M96" s="97">
        <f>E96*(1+C126)+I96+J96</f>
        <v>0</v>
      </c>
      <c r="N96" s="97">
        <f>(E96*(1+C120)*(1+C121)+H96*(1+C121)+I96+J96*(1+C119))*1.25</f>
        <v>0</v>
      </c>
    </row>
    <row r="97" spans="1:14" x14ac:dyDescent="0.25">
      <c r="A97" s="767"/>
      <c r="B97" s="7" t="s">
        <v>120</v>
      </c>
      <c r="C97" s="391"/>
      <c r="D97" s="391"/>
      <c r="E97" s="11">
        <f>C97*VLOOKUP(C62,A115:C148,3,FALSE)+VLOOKUP(D62,A115:C144,3,FALSE)*D97</f>
        <v>0</v>
      </c>
      <c r="F97" s="52"/>
      <c r="G97" s="52"/>
      <c r="H97" s="57"/>
      <c r="I97" s="397"/>
      <c r="J97" s="402"/>
      <c r="K97" s="11">
        <f t="shared" si="2"/>
        <v>0</v>
      </c>
      <c r="L97" s="44">
        <f>E97*(1+C117)+I97+J97*(1+C119)</f>
        <v>0</v>
      </c>
      <c r="M97" s="97">
        <f>E97*(1+C126)+I97+J97</f>
        <v>0</v>
      </c>
      <c r="N97" s="97">
        <f>(E97*(1+C120)*(1+C121)+H97*(1+C121)+I97+J97*(1+C119))*1.25</f>
        <v>0</v>
      </c>
    </row>
    <row r="98" spans="1:14" x14ac:dyDescent="0.25">
      <c r="A98" s="767"/>
      <c r="B98" s="7" t="s">
        <v>116</v>
      </c>
      <c r="C98" s="641">
        <v>1</v>
      </c>
      <c r="D98" s="641">
        <v>2</v>
      </c>
      <c r="E98" s="11">
        <f>C98*VLOOKUP(C62,A115:C148,3,FALSE)+VLOOKUP(D62,A115:C144,3,FALSE)*D98</f>
        <v>151.43762840837033</v>
      </c>
      <c r="F98" s="52"/>
      <c r="G98" s="52"/>
      <c r="H98" s="57"/>
      <c r="I98" s="397"/>
      <c r="J98" s="402"/>
      <c r="K98" s="11">
        <f t="shared" si="2"/>
        <v>151.43762840837033</v>
      </c>
      <c r="L98" s="44">
        <f>E98*(1+C117)+I98+J98*(1+C119)</f>
        <v>306.08573453899817</v>
      </c>
      <c r="M98" s="97">
        <f>E98*(1+C126)+I98+J98</f>
        <v>296.81775168040582</v>
      </c>
      <c r="N98" s="97">
        <f>(E98*(1+C120)*(1+C121)+H98*(1+C121)+I98+J98*(1+C119))*1.25</f>
        <v>198.84424664019593</v>
      </c>
    </row>
    <row r="99" spans="1:14" x14ac:dyDescent="0.25">
      <c r="A99" s="767"/>
      <c r="B99" s="7" t="s">
        <v>117</v>
      </c>
      <c r="C99" s="641"/>
      <c r="D99" s="641"/>
      <c r="E99" s="11">
        <f>C99*VLOOKUP(C62,A115:C148,3,FALSE)+VLOOKUP(D62,A115:C144,3,FALSE)*D99</f>
        <v>0</v>
      </c>
      <c r="F99" s="52"/>
      <c r="G99" s="52"/>
      <c r="H99" s="57"/>
      <c r="I99" s="397"/>
      <c r="J99" s="402"/>
      <c r="K99" s="11">
        <f t="shared" si="2"/>
        <v>0</v>
      </c>
      <c r="L99" s="44">
        <f>E99*(1+C117)+I99+J99*(1+C119)</f>
        <v>0</v>
      </c>
      <c r="M99" s="97">
        <f>E99*(1+C126)+I99+J99</f>
        <v>0</v>
      </c>
      <c r="N99" s="97">
        <f>(E99*(1+C120)*(1+C121)+H99*(1+C121)+I99+J99*(1+C119))*1.25</f>
        <v>0</v>
      </c>
    </row>
    <row r="100" spans="1:14" x14ac:dyDescent="0.25">
      <c r="A100" s="767"/>
      <c r="B100" s="4" t="s">
        <v>600</v>
      </c>
      <c r="C100" s="641"/>
      <c r="D100" s="641"/>
      <c r="E100" s="11">
        <f>C100*VLOOKUP(C62,A115:C148,3,FALSE)+VLOOKUP(D62,A115:C144,3,FALSE)*D100</f>
        <v>0</v>
      </c>
      <c r="F100" s="52"/>
      <c r="G100" s="52"/>
      <c r="H100" s="57"/>
      <c r="I100" s="397"/>
      <c r="J100" s="402"/>
      <c r="K100" s="11">
        <f t="shared" si="2"/>
        <v>0</v>
      </c>
      <c r="L100" s="44">
        <f>E100*(1+C117)+I100+J100*(1+C119)</f>
        <v>0</v>
      </c>
      <c r="M100" s="97">
        <f>E100*(1+C126)+I100+J100</f>
        <v>0</v>
      </c>
      <c r="N100" s="97">
        <f>(E100*(1+C120)*(1+C121)+H100*(1+C121)+I100+J100*(1+C119))*1.25</f>
        <v>0</v>
      </c>
    </row>
    <row r="101" spans="1:14" x14ac:dyDescent="0.25">
      <c r="A101" s="767"/>
      <c r="B101" s="6" t="s">
        <v>601</v>
      </c>
      <c r="C101" s="76"/>
      <c r="D101" s="76"/>
      <c r="E101" s="77"/>
      <c r="F101" s="52"/>
      <c r="G101" s="52"/>
      <c r="H101" s="57"/>
      <c r="I101" s="397"/>
      <c r="J101" s="402"/>
      <c r="K101" s="11">
        <f t="shared" si="2"/>
        <v>0</v>
      </c>
      <c r="L101" s="44">
        <f>E101*(1+C117)+I101+J101*(1+C119)</f>
        <v>0</v>
      </c>
      <c r="M101" s="97">
        <f>E101*(1+C126)+I101+J101</f>
        <v>0</v>
      </c>
      <c r="N101" s="97">
        <f>(E101*(1+C120)*(1+C121)+H101*(1+C121)+I101)*1.25+J101*(1+C119)</f>
        <v>0</v>
      </c>
    </row>
    <row r="102" spans="1:14" x14ac:dyDescent="0.25">
      <c r="A102" s="767"/>
      <c r="B102" s="4" t="s">
        <v>118</v>
      </c>
      <c r="C102" s="391"/>
      <c r="D102" s="391"/>
      <c r="E102" s="11">
        <f>C102*VLOOKUP(C62,A115:C148,3,FALSE)+VLOOKUP(D62,A115:C144,3,FALSE)*D102</f>
        <v>0</v>
      </c>
      <c r="F102" s="52"/>
      <c r="G102" s="52"/>
      <c r="H102" s="57"/>
      <c r="I102" s="397"/>
      <c r="J102" s="402"/>
      <c r="K102" s="11">
        <f t="shared" si="2"/>
        <v>0</v>
      </c>
      <c r="L102" s="44">
        <f>E102*(1+C117)+I102+J102*(1+C119)</f>
        <v>0</v>
      </c>
      <c r="M102" s="97">
        <f>E102*(1+C126)+I102+J102</f>
        <v>0</v>
      </c>
      <c r="N102" s="97">
        <f>(E102*(1+C120)*(1+C121)+H102*(1+C121)+I102+J102*(1+C119))*1.25</f>
        <v>0</v>
      </c>
    </row>
    <row r="103" spans="1:14" ht="15.75" thickBot="1" x14ac:dyDescent="0.3">
      <c r="A103" s="767"/>
      <c r="B103" s="2" t="s">
        <v>119</v>
      </c>
      <c r="C103" s="87"/>
      <c r="D103" s="87"/>
      <c r="E103" s="88"/>
      <c r="F103" s="54"/>
      <c r="G103" s="54"/>
      <c r="H103" s="89"/>
      <c r="I103" s="403"/>
      <c r="J103" s="398"/>
      <c r="K103" s="44">
        <f t="shared" si="2"/>
        <v>0</v>
      </c>
      <c r="L103" s="44">
        <f>E103*(1+C117)+I103+J103*(1+C119)</f>
        <v>0</v>
      </c>
      <c r="M103" s="98">
        <f>E103*(1+C126)+I103+J103</f>
        <v>0</v>
      </c>
      <c r="N103" s="98">
        <f>(E103*(1+C120)*(1+C121)+H103*(1+C121)+I103)*1.25+J103*(1+C119)</f>
        <v>0</v>
      </c>
    </row>
    <row r="104" spans="1:14" ht="14.45" customHeight="1" thickBot="1" x14ac:dyDescent="0.3">
      <c r="A104" s="754" t="s">
        <v>28</v>
      </c>
      <c r="B104" s="755"/>
      <c r="C104" s="45">
        <f t="shared" ref="C104:N104" si="3">SUM(C64:C103)</f>
        <v>8</v>
      </c>
      <c r="D104" s="45">
        <f t="shared" si="3"/>
        <v>10</v>
      </c>
      <c r="E104" s="46">
        <f t="shared" si="3"/>
        <v>949.49681674064686</v>
      </c>
      <c r="F104" s="46">
        <f t="shared" si="3"/>
        <v>30.25</v>
      </c>
      <c r="G104" s="46">
        <f t="shared" si="3"/>
        <v>0</v>
      </c>
      <c r="H104" s="46">
        <f t="shared" si="3"/>
        <v>1872.7775000000001</v>
      </c>
      <c r="I104" s="46">
        <f t="shared" si="3"/>
        <v>0</v>
      </c>
      <c r="J104" s="46">
        <f t="shared" si="3"/>
        <v>2125.06</v>
      </c>
      <c r="K104" s="46">
        <f t="shared" si="3"/>
        <v>4947.3343167406474</v>
      </c>
      <c r="L104" s="46">
        <f t="shared" si="3"/>
        <v>7868.4147177461964</v>
      </c>
      <c r="M104" s="99">
        <f t="shared" si="3"/>
        <v>7656.7176608116679</v>
      </c>
      <c r="N104" s="99">
        <f t="shared" si="3"/>
        <v>6306.1255661283831</v>
      </c>
    </row>
    <row r="106" spans="1:14" x14ac:dyDescent="0.25">
      <c r="A106" s="3" t="s">
        <v>21</v>
      </c>
    </row>
    <row r="107" spans="1:14" x14ac:dyDescent="0.25">
      <c r="A107" s="3" t="s">
        <v>114</v>
      </c>
    </row>
    <row r="111" spans="1:14" x14ac:dyDescent="0.25">
      <c r="B111" s="8" t="s">
        <v>20</v>
      </c>
    </row>
    <row r="112" spans="1:14" ht="15.75" thickBot="1" x14ac:dyDescent="0.3">
      <c r="B112" s="282" t="s">
        <v>162</v>
      </c>
      <c r="C112" s="282">
        <v>2024</v>
      </c>
    </row>
    <row r="113" spans="1:13" ht="14.45" customHeight="1" x14ac:dyDescent="0.25">
      <c r="G113" s="734" t="str">
        <f>CONCATENATE("Tarifs applicables en cas d'utilisation pluriannuelle de cette fiche de coûts (application d'un coefficient de dérive annuelle de ",C128*100, " % à la phase de réalisation (phase de conception exclue car effectuée en année 1) :")</f>
        <v>Tarifs applicables en cas d'utilisation pluriannuelle de cette fiche de coûts (application d'un coefficient de dérive annuelle de 1,9 % à la phase de réalisation (phase de conception exclue car effectuée en année 1) :</v>
      </c>
      <c r="H113" s="735"/>
      <c r="I113" s="735"/>
      <c r="J113" s="735"/>
      <c r="K113" s="735"/>
      <c r="L113" s="735"/>
      <c r="M113" s="736"/>
    </row>
    <row r="114" spans="1:13" ht="30.75" customHeight="1" thickBot="1" x14ac:dyDescent="0.3">
      <c r="C114" s="271" t="s">
        <v>43</v>
      </c>
      <c r="G114" s="737"/>
      <c r="H114" s="738"/>
      <c r="I114" s="738"/>
      <c r="J114" s="738"/>
      <c r="K114" s="738"/>
      <c r="L114" s="738"/>
      <c r="M114" s="739"/>
    </row>
    <row r="115" spans="1:13" ht="14.45" customHeight="1" x14ac:dyDescent="0.25">
      <c r="A115" s="93" t="s">
        <v>577</v>
      </c>
      <c r="B115" s="10" t="s">
        <v>640</v>
      </c>
      <c r="C115" s="530">
        <f>(C131*C134+C132*C135+C133*C136)/(C131+C132+C133)</f>
        <v>64.102891566265058</v>
      </c>
      <c r="G115" s="126"/>
      <c r="H115" s="127"/>
      <c r="I115" s="742" t="s">
        <v>16</v>
      </c>
      <c r="J115" s="742" t="s">
        <v>17</v>
      </c>
      <c r="K115" s="742" t="str">
        <f>CONCATENATE("Prix de vente hors CEA préconisé avec taux de marge de ",C19*100,"%")</f>
        <v>Prix de vente hors CEA préconisé avec taux de marge de 10%</v>
      </c>
      <c r="L115" s="744" t="s">
        <v>152</v>
      </c>
      <c r="M115" s="746" t="s">
        <v>163</v>
      </c>
    </row>
    <row r="116" spans="1:13" x14ac:dyDescent="0.25">
      <c r="A116" s="93" t="s">
        <v>578</v>
      </c>
      <c r="B116" s="10" t="s">
        <v>641</v>
      </c>
      <c r="C116" s="530">
        <f>(C139*C142+C140*C143+C141*C144)/(C139+C140+C141)</f>
        <v>43.667368421052636</v>
      </c>
      <c r="G116" s="124"/>
      <c r="H116" s="118"/>
      <c r="I116" s="743"/>
      <c r="J116" s="743"/>
      <c r="K116" s="743"/>
      <c r="L116" s="745"/>
      <c r="M116" s="747"/>
    </row>
    <row r="117" spans="1:13" x14ac:dyDescent="0.25">
      <c r="B117" s="552" t="str">
        <f>CONCATENATE("Taux T3 INSTN 2024 Nat10 (incluant IDR ",C120*100,"% et TSS ",C121*100,"%)")</f>
        <v>Taux T3 INSTN 2024 Nat10 (incluant IDR 1,56% et TSS 3,43%)</v>
      </c>
      <c r="C117" s="553">
        <v>1.0212000000000001</v>
      </c>
      <c r="D117" s="703" t="s">
        <v>647</v>
      </c>
      <c r="E117" s="704"/>
      <c r="G117" s="740" t="s">
        <v>164</v>
      </c>
      <c r="H117" s="741"/>
      <c r="I117" s="743"/>
      <c r="J117" s="743"/>
      <c r="K117" s="743"/>
      <c r="L117" s="745"/>
      <c r="M117" s="747"/>
    </row>
    <row r="118" spans="1:13" x14ac:dyDescent="0.25">
      <c r="B118" s="552" t="str">
        <f>CONCATENATE("Taux T3 INSTN 2024 Nat 20 (incluant TSS ",C121*100,"%)")</f>
        <v>Taux T3 INSTN 2024 Nat 20 (incluant TSS 3,43%)</v>
      </c>
      <c r="C118" s="553">
        <v>1.0057</v>
      </c>
      <c r="D118" s="705"/>
      <c r="E118" s="706"/>
      <c r="G118" s="124"/>
      <c r="H118" s="118"/>
      <c r="I118" s="743"/>
      <c r="J118" s="743"/>
      <c r="K118" s="743"/>
      <c r="L118" s="745"/>
      <c r="M118" s="747"/>
    </row>
    <row r="119" spans="1:13" x14ac:dyDescent="0.25">
      <c r="B119" s="5" t="s">
        <v>655</v>
      </c>
      <c r="C119" s="608">
        <f>(100%-84%)*20%</f>
        <v>3.2000000000000008E-2</v>
      </c>
      <c r="G119" s="124"/>
      <c r="H119" s="118"/>
      <c r="I119" s="743"/>
      <c r="J119" s="743"/>
      <c r="K119" s="743"/>
      <c r="L119" s="745"/>
      <c r="M119" s="747"/>
    </row>
    <row r="120" spans="1:13" x14ac:dyDescent="0.25">
      <c r="B120" s="554" t="s">
        <v>656</v>
      </c>
      <c r="C120" s="553">
        <v>1.5599999999999999E-2</v>
      </c>
      <c r="D120" s="703" t="s">
        <v>647</v>
      </c>
      <c r="E120" s="704"/>
      <c r="G120" s="748" t="str">
        <f>CONCATENATE("Prix par participant ",C112)</f>
        <v>Prix par participant 2024</v>
      </c>
      <c r="H120" s="749"/>
      <c r="I120" s="121">
        <f>J13</f>
        <v>907</v>
      </c>
      <c r="J120" s="121">
        <f>L13</f>
        <v>1443</v>
      </c>
      <c r="K120" s="121">
        <f>M13</f>
        <v>1587</v>
      </c>
      <c r="L120" s="125">
        <f>J21</f>
        <v>1428.3</v>
      </c>
      <c r="M120" s="128">
        <f>J22</f>
        <v>1587</v>
      </c>
    </row>
    <row r="121" spans="1:13" x14ac:dyDescent="0.25">
      <c r="B121" s="554" t="s">
        <v>657</v>
      </c>
      <c r="C121" s="553">
        <v>3.4299999999999997E-2</v>
      </c>
      <c r="D121" s="705"/>
      <c r="E121" s="706"/>
      <c r="G121" s="748" t="str">
        <f>CONCATENATE("Prix par participant ",C112+1)</f>
        <v>Prix par participant 2025</v>
      </c>
      <c r="H121" s="749"/>
      <c r="I121" s="22">
        <f>ROUND((K35-K104+K104*(1+C128))*1.1/C17,0)</f>
        <v>924</v>
      </c>
      <c r="J121" s="22">
        <f>ROUND((L35-L104+L104*(1+C128))*1.1/C17,0)</f>
        <v>1470</v>
      </c>
      <c r="K121" s="22">
        <f>ROUND(J121*(1+C19),0)</f>
        <v>1617</v>
      </c>
      <c r="L121" s="640" t="s">
        <v>138</v>
      </c>
      <c r="M121" s="128" t="s">
        <v>138</v>
      </c>
    </row>
    <row r="122" spans="1:13" x14ac:dyDescent="0.25">
      <c r="B122" s="5" t="s">
        <v>355</v>
      </c>
      <c r="C122" s="560">
        <f>62*1.33</f>
        <v>82.460000000000008</v>
      </c>
      <c r="D122" s="559"/>
      <c r="G122" s="748" t="str">
        <f>CONCATENATE("Prix par participant ",C112+2)</f>
        <v>Prix par participant 2026</v>
      </c>
      <c r="H122" s="749"/>
      <c r="I122" s="22">
        <f>ROUND((K35-K104+K104*(1+C128)*(1+C128))*1.1/C17,0)</f>
        <v>942</v>
      </c>
      <c r="J122" s="22">
        <f>ROUND((L35-L104+L104*(1+C128)*(1+C128))*1.1/C17,0)</f>
        <v>1498</v>
      </c>
      <c r="K122" s="22">
        <f>ROUND(J122*(1+C19),0)</f>
        <v>1648</v>
      </c>
      <c r="L122" s="125" t="s">
        <v>138</v>
      </c>
      <c r="M122" s="128" t="s">
        <v>138</v>
      </c>
    </row>
    <row r="123" spans="1:13" x14ac:dyDescent="0.25">
      <c r="B123" s="5" t="s">
        <v>356</v>
      </c>
      <c r="C123" s="560">
        <f>41*1.51</f>
        <v>61.910000000000004</v>
      </c>
      <c r="D123" s="559"/>
      <c r="G123" s="748" t="str">
        <f>CONCATENATE("Prix par participant ",C112+3)</f>
        <v>Prix par participant 2027</v>
      </c>
      <c r="H123" s="749"/>
      <c r="I123" s="22">
        <f>ROUND((K35-K104+K104*(1+C128)*(1+C128)*(1+C128))*1.1/C17,0)</f>
        <v>960</v>
      </c>
      <c r="J123" s="22">
        <f>ROUND((L35-L104+L104*(1+C128)*(1+C128)*(1+C128))*1.1/C17,0)</f>
        <v>1526</v>
      </c>
      <c r="K123" s="22">
        <f>ROUND(J123*(1+C19),0)</f>
        <v>1679</v>
      </c>
      <c r="L123" s="125" t="s">
        <v>138</v>
      </c>
      <c r="M123" s="128" t="s">
        <v>138</v>
      </c>
    </row>
    <row r="124" spans="1:13" x14ac:dyDescent="0.25">
      <c r="B124" s="148" t="s">
        <v>41</v>
      </c>
      <c r="C124" s="149">
        <v>40.770000000000003</v>
      </c>
      <c r="G124" s="748" t="str">
        <f>CONCATENATE("Prix par participant ",C112+4)</f>
        <v>Prix par participant 2028</v>
      </c>
      <c r="H124" s="749"/>
      <c r="I124" s="22">
        <f>ROUND((K35-K104+K104*(1+C128)*(1+C128)*(1+C128)*(1+C128))*1.1/C17,0)</f>
        <v>978</v>
      </c>
      <c r="J124" s="22">
        <f>ROUND((L35-L104+L104*(1+C128)*(1+C128)*(1+C128)*(1+C128))*1.1/C17,0)</f>
        <v>1555</v>
      </c>
      <c r="K124" s="22">
        <f>ROUND(J124*(1+C19),0)</f>
        <v>1711</v>
      </c>
      <c r="L124" s="125" t="s">
        <v>138</v>
      </c>
      <c r="M124" s="128" t="s">
        <v>138</v>
      </c>
    </row>
    <row r="125" spans="1:13" ht="15.75" thickBot="1" x14ac:dyDescent="0.3">
      <c r="B125" s="148" t="s">
        <v>42</v>
      </c>
      <c r="C125" s="149">
        <v>31.71</v>
      </c>
      <c r="G125" s="732" t="str">
        <f>CONCATENATE("Prix par participant ",C112+5)</f>
        <v>Prix par participant 2029</v>
      </c>
      <c r="H125" s="733"/>
      <c r="I125" s="129">
        <f>ROUND((K35-K104+K104*(1+C128)*(1+C128)*(1+C128)*(1+C128)*(1+C128))*1.1/C17,0)</f>
        <v>997</v>
      </c>
      <c r="J125" s="129">
        <f>ROUND((L35-L104+L104*(1+C128)*(1+C128)*(1+C128)*(1+C128)*(1+C128))*1.1/C17,0)</f>
        <v>1585</v>
      </c>
      <c r="K125" s="129">
        <f>ROUND(J125*(1+C19),0)</f>
        <v>1744</v>
      </c>
      <c r="L125" s="130" t="s">
        <v>138</v>
      </c>
      <c r="M125" s="131" t="s">
        <v>138</v>
      </c>
    </row>
    <row r="126" spans="1:13" ht="30" x14ac:dyDescent="0.25">
      <c r="B126" s="5" t="s">
        <v>627</v>
      </c>
      <c r="C126" s="555">
        <v>0.96</v>
      </c>
      <c r="D126" s="832"/>
      <c r="E126" s="833"/>
    </row>
    <row r="127" spans="1:13" ht="30" hidden="1" x14ac:dyDescent="0.25">
      <c r="B127" s="5" t="s">
        <v>628</v>
      </c>
      <c r="C127" s="551"/>
      <c r="D127" s="834"/>
      <c r="E127" s="835"/>
    </row>
    <row r="128" spans="1:13" collapsed="1" x14ac:dyDescent="0.25">
      <c r="B128" s="554" t="s">
        <v>165</v>
      </c>
      <c r="C128" s="553">
        <v>1.9E-2</v>
      </c>
      <c r="D128" s="823" t="s">
        <v>654</v>
      </c>
      <c r="E128" s="824"/>
      <c r="F128" s="825"/>
    </row>
    <row r="130" spans="1:5" x14ac:dyDescent="0.25">
      <c r="B130" s="478" t="s">
        <v>642</v>
      </c>
    </row>
    <row r="131" spans="1:5" x14ac:dyDescent="0.25">
      <c r="B131" s="5" t="s">
        <v>643</v>
      </c>
      <c r="C131" s="9">
        <v>21</v>
      </c>
    </row>
    <row r="132" spans="1:5" x14ac:dyDescent="0.25">
      <c r="B132" s="5" t="s">
        <v>644</v>
      </c>
      <c r="C132" s="9">
        <v>27</v>
      </c>
    </row>
    <row r="133" spans="1:5" x14ac:dyDescent="0.25">
      <c r="B133" s="5" t="s">
        <v>645</v>
      </c>
      <c r="C133" s="9">
        <v>35</v>
      </c>
    </row>
    <row r="134" spans="1:5" x14ac:dyDescent="0.25">
      <c r="A134" s="93" t="s">
        <v>583</v>
      </c>
      <c r="B134" s="554" t="s">
        <v>646</v>
      </c>
      <c r="C134" s="554">
        <v>47.45</v>
      </c>
      <c r="D134" s="826" t="s">
        <v>647</v>
      </c>
      <c r="E134" s="827"/>
    </row>
    <row r="135" spans="1:5" x14ac:dyDescent="0.25">
      <c r="A135" s="93" t="s">
        <v>582</v>
      </c>
      <c r="B135" s="554" t="s">
        <v>630</v>
      </c>
      <c r="C135" s="554">
        <v>60.57</v>
      </c>
      <c r="D135" s="828"/>
      <c r="E135" s="829"/>
    </row>
    <row r="136" spans="1:5" x14ac:dyDescent="0.25">
      <c r="A136" s="93" t="s">
        <v>579</v>
      </c>
      <c r="B136" s="554" t="s">
        <v>631</v>
      </c>
      <c r="C136" s="554">
        <v>76.819999999999993</v>
      </c>
      <c r="D136" s="830"/>
      <c r="E136" s="831"/>
    </row>
    <row r="138" spans="1:5" x14ac:dyDescent="0.25">
      <c r="B138" s="478" t="s">
        <v>632</v>
      </c>
    </row>
    <row r="139" spans="1:5" x14ac:dyDescent="0.25">
      <c r="B139" s="5" t="s">
        <v>648</v>
      </c>
      <c r="C139" s="9">
        <v>0</v>
      </c>
    </row>
    <row r="140" spans="1:5" x14ac:dyDescent="0.25">
      <c r="B140" s="5" t="s">
        <v>649</v>
      </c>
      <c r="C140" s="9">
        <v>18</v>
      </c>
    </row>
    <row r="141" spans="1:5" x14ac:dyDescent="0.25">
      <c r="B141" s="5" t="s">
        <v>650</v>
      </c>
      <c r="C141" s="9">
        <v>20</v>
      </c>
    </row>
    <row r="142" spans="1:5" ht="15" customHeight="1" x14ac:dyDescent="0.25">
      <c r="A142" s="93" t="s">
        <v>581</v>
      </c>
      <c r="B142" s="554" t="s">
        <v>651</v>
      </c>
      <c r="C142" s="554">
        <v>30.14</v>
      </c>
      <c r="D142" s="826" t="s">
        <v>647</v>
      </c>
      <c r="E142" s="827"/>
    </row>
    <row r="143" spans="1:5" x14ac:dyDescent="0.25">
      <c r="A143" s="93" t="s">
        <v>580</v>
      </c>
      <c r="B143" s="554" t="s">
        <v>652</v>
      </c>
      <c r="C143" s="554">
        <v>38.619999999999997</v>
      </c>
      <c r="D143" s="828"/>
      <c r="E143" s="829"/>
    </row>
    <row r="144" spans="1:5" x14ac:dyDescent="0.25">
      <c r="A144" s="93" t="s">
        <v>633</v>
      </c>
      <c r="B144" s="554" t="s">
        <v>653</v>
      </c>
      <c r="C144" s="554">
        <v>48.21</v>
      </c>
      <c r="D144" s="830"/>
      <c r="E144" s="831"/>
    </row>
    <row r="146" spans="1:3" ht="30" x14ac:dyDescent="0.25">
      <c r="A146" s="93" t="s">
        <v>609</v>
      </c>
      <c r="B146" s="5" t="s">
        <v>612</v>
      </c>
      <c r="C146" s="9">
        <f>0.8*C134</f>
        <v>37.96</v>
      </c>
    </row>
    <row r="147" spans="1:3" ht="30" x14ac:dyDescent="0.25">
      <c r="A147" s="93" t="s">
        <v>610</v>
      </c>
      <c r="B147" s="5" t="s">
        <v>613</v>
      </c>
      <c r="C147" s="558">
        <f>0.95*C134</f>
        <v>45.077500000000001</v>
      </c>
    </row>
    <row r="148" spans="1:3" x14ac:dyDescent="0.25">
      <c r="A148" s="93" t="s">
        <v>611</v>
      </c>
      <c r="B148" s="5" t="s">
        <v>614</v>
      </c>
      <c r="C148" s="558">
        <f>1.1*C134</f>
        <v>52.195000000000007</v>
      </c>
    </row>
  </sheetData>
  <sheetProtection sheet="1" scenarios="1"/>
  <protectedRanges>
    <protectedRange sqref="L121:M125" name="Plage1"/>
  </protectedRanges>
  <mergeCells count="82">
    <mergeCell ref="D128:F128"/>
    <mergeCell ref="D134:E136"/>
    <mergeCell ref="D142:E144"/>
    <mergeCell ref="D126:E126"/>
    <mergeCell ref="D127:E127"/>
    <mergeCell ref="A2:N2"/>
    <mergeCell ref="B6:B7"/>
    <mergeCell ref="C6:C7"/>
    <mergeCell ref="D16:F16"/>
    <mergeCell ref="A64:A69"/>
    <mergeCell ref="G29:I29"/>
    <mergeCell ref="G25:N25"/>
    <mergeCell ref="G26:I26"/>
    <mergeCell ref="K23:L23"/>
    <mergeCell ref="C5:F5"/>
    <mergeCell ref="G16:I16"/>
    <mergeCell ref="G9:I9"/>
    <mergeCell ref="G10:I10"/>
    <mergeCell ref="G12:I12"/>
    <mergeCell ref="G11:I11"/>
    <mergeCell ref="G13:I13"/>
    <mergeCell ref="A75:A77"/>
    <mergeCell ref="D14:E14"/>
    <mergeCell ref="C13:E13"/>
    <mergeCell ref="B22:E22"/>
    <mergeCell ref="A63:N63"/>
    <mergeCell ref="A37:B37"/>
    <mergeCell ref="E37:J37"/>
    <mergeCell ref="A62:B62"/>
    <mergeCell ref="E62:J62"/>
    <mergeCell ref="G28:I28"/>
    <mergeCell ref="K21:L21"/>
    <mergeCell ref="A56:B56"/>
    <mergeCell ref="G21:I21"/>
    <mergeCell ref="G24:I24"/>
    <mergeCell ref="G27:I27"/>
    <mergeCell ref="G22:I22"/>
    <mergeCell ref="A1:N1"/>
    <mergeCell ref="A38:N38"/>
    <mergeCell ref="A104:B104"/>
    <mergeCell ref="A35:J35"/>
    <mergeCell ref="A58:B58"/>
    <mergeCell ref="A60:B60"/>
    <mergeCell ref="A57:H57"/>
    <mergeCell ref="F59:H59"/>
    <mergeCell ref="A78:A79"/>
    <mergeCell ref="A41:A44"/>
    <mergeCell ref="A45:A55"/>
    <mergeCell ref="A39:A40"/>
    <mergeCell ref="A87:A95"/>
    <mergeCell ref="A80:A81"/>
    <mergeCell ref="A96:A103"/>
    <mergeCell ref="A70:A74"/>
    <mergeCell ref="G125:H125"/>
    <mergeCell ref="G113:M114"/>
    <mergeCell ref="G117:H117"/>
    <mergeCell ref="K115:K119"/>
    <mergeCell ref="J115:J119"/>
    <mergeCell ref="I115:I119"/>
    <mergeCell ref="L115:L119"/>
    <mergeCell ref="M115:M119"/>
    <mergeCell ref="G120:H120"/>
    <mergeCell ref="G121:H121"/>
    <mergeCell ref="G122:H122"/>
    <mergeCell ref="G123:H123"/>
    <mergeCell ref="G124:H124"/>
    <mergeCell ref="O6:O7"/>
    <mergeCell ref="G6:I6"/>
    <mergeCell ref="G17:I17"/>
    <mergeCell ref="G18:I18"/>
    <mergeCell ref="C10:D10"/>
    <mergeCell ref="D6:F8"/>
    <mergeCell ref="G8:I8"/>
    <mergeCell ref="G7:I7"/>
    <mergeCell ref="G14:I14"/>
    <mergeCell ref="G15:I15"/>
    <mergeCell ref="O8:O18"/>
    <mergeCell ref="P21:P23"/>
    <mergeCell ref="K22:L22"/>
    <mergeCell ref="D117:E118"/>
    <mergeCell ref="D120:E121"/>
    <mergeCell ref="C12:D12"/>
  </mergeCells>
  <dataValidations disablePrompts="1" count="4">
    <dataValidation type="list" allowBlank="1" showInputMessage="1" showErrorMessage="1" sqref="C16" xr:uid="{00000000-0002-0000-0300-000000000000}">
      <formula1>"Choisir Unité,UEC,UEFG,UECC,UEM,UES,SFRES,DIR,DSTG,DFI"</formula1>
    </dataValidation>
    <dataValidation type="list" allowBlank="1" showInputMessage="1" showErrorMessage="1" sqref="C10" xr:uid="{00000000-0002-0000-0300-000001000000}">
      <formula1>"Choisir Type,FD,Certification,FC INTER,FC INTRA,Autre prestation"</formula1>
    </dataValidation>
    <dataValidation type="list" allowBlank="1" showInputMessage="1" showErrorMessage="1" sqref="C62 C37" xr:uid="{00000000-0002-0000-0300-000002000000}">
      <formula1>"Choisir A1,C1(&lt;600 points),C2(&lt;750 points),C3(&gt;749 points),CDD cadre débutant,CDD cadre confirmé,CDD cadre expert"</formula1>
    </dataValidation>
    <dataValidation type="list" allowBlank="1" showInputMessage="1" showErrorMessage="1" sqref="D62 D37" xr:uid="{00000000-0002-0000-0300-000003000000}">
      <formula1>"Choisir A2,NC1(&lt;300 points),NC2(&lt;420 points),NC3(&gt;419 points)"</formula1>
    </dataValidation>
  </dataValidations>
  <pageMargins left="0.17" right="0.17" top="0.4" bottom="0.25" header="0.3" footer="0.17"/>
  <pageSetup paperSize="8" scale="62" orientation="portrait" r:id="rId1"/>
  <customProperties>
    <customPr name="EpmWorksheetKeyString_GUID" r:id="rId2"/>
  </customProperties>
  <drawing r:id="rId3"/>
  <legacyDrawing r:id="rId4"/>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4000000}">
          <x14:formula1>
            <xm:f>'Table FD&amp;FC'!$U$3:$U$98</xm:f>
          </x14:formula1>
          <xm:sqref>C13:E13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8504F-C106-4C62-979B-A8F761CCE00A}">
  <dimension ref="A1:H33"/>
  <sheetViews>
    <sheetView tabSelected="1" workbookViewId="0">
      <selection activeCell="C14" sqref="C14"/>
    </sheetView>
  </sheetViews>
  <sheetFormatPr baseColWidth="10" defaultRowHeight="15" x14ac:dyDescent="0.25"/>
  <cols>
    <col min="1" max="1" width="36.5703125" customWidth="1"/>
    <col min="3" max="3" width="50.42578125" bestFit="1" customWidth="1"/>
    <col min="4" max="4" width="24.42578125" bestFit="1" customWidth="1"/>
    <col min="7" max="7" width="12" bestFit="1" customWidth="1"/>
  </cols>
  <sheetData>
    <row r="1" spans="1:8" x14ac:dyDescent="0.25">
      <c r="E1" t="s">
        <v>720</v>
      </c>
      <c r="F1" t="s">
        <v>718</v>
      </c>
      <c r="G1" t="s">
        <v>719</v>
      </c>
    </row>
    <row r="2" spans="1:8" x14ac:dyDescent="0.25">
      <c r="A2" t="s">
        <v>721</v>
      </c>
      <c r="B2" t="s">
        <v>714</v>
      </c>
      <c r="C2" t="s">
        <v>715</v>
      </c>
      <c r="D2" t="s">
        <v>716</v>
      </c>
      <c r="E2" s="647">
        <f>F2</f>
        <v>1725.06</v>
      </c>
      <c r="F2" s="647">
        <f>SUM('Coûts frais variables'!E4:E9,'Coûts frais variables'!E14:E21)</f>
        <v>1725.06</v>
      </c>
      <c r="G2" s="646">
        <f>SUMPRODUCT('Coûts frais variables'!B4:B9,'Coûts frais variables'!C4:C9)+SUMPRODUCT('Coûts frais variables'!B14:B21,'Coûts frais variables'!C14:C21)</f>
        <v>275.23</v>
      </c>
      <c r="H2" t="s">
        <v>717</v>
      </c>
    </row>
    <row r="3" spans="1:8" x14ac:dyDescent="0.25">
      <c r="A3" t="s">
        <v>722</v>
      </c>
      <c r="B3" t="s">
        <v>724</v>
      </c>
      <c r="E3" s="647">
        <f>'Fiche de coûts'!K56</f>
        <v>3846.1734939759035</v>
      </c>
    </row>
    <row r="4" spans="1:8" x14ac:dyDescent="0.25">
      <c r="A4" t="s">
        <v>723</v>
      </c>
      <c r="B4" t="s">
        <v>724</v>
      </c>
    </row>
    <row r="9" spans="1:8" x14ac:dyDescent="0.25">
      <c r="A9" s="648" t="s">
        <v>725</v>
      </c>
      <c r="E9" t="s">
        <v>720</v>
      </c>
      <c r="F9" t="s">
        <v>718</v>
      </c>
      <c r="G9" t="s">
        <v>719</v>
      </c>
    </row>
    <row r="10" spans="1:8" x14ac:dyDescent="0.25">
      <c r="A10" t="s">
        <v>721</v>
      </c>
      <c r="B10" t="s">
        <v>714</v>
      </c>
      <c r="C10" t="s">
        <v>730</v>
      </c>
      <c r="D10" t="s">
        <v>716</v>
      </c>
      <c r="E10" s="649">
        <f>F10</f>
        <v>296.71031999999997</v>
      </c>
      <c r="F10" s="649">
        <f>SUM('Fiche de coûts'!$L$88:$L$95)/'Fiche de coûts'!C17</f>
        <v>296.71031999999997</v>
      </c>
      <c r="G10" s="646">
        <f>F10</f>
        <v>296.71031999999997</v>
      </c>
      <c r="H10" t="s">
        <v>726</v>
      </c>
    </row>
    <row r="11" spans="1:8" x14ac:dyDescent="0.25">
      <c r="A11" t="s">
        <v>722</v>
      </c>
      <c r="B11" t="s">
        <v>724</v>
      </c>
      <c r="C11" t="s">
        <v>728</v>
      </c>
      <c r="E11" s="647">
        <f>'Fiche de coûts'!K64</f>
        <v>0</v>
      </c>
      <c r="H11" t="s">
        <v>727</v>
      </c>
    </row>
    <row r="12" spans="1:8" x14ac:dyDescent="0.25">
      <c r="A12" t="s">
        <v>723</v>
      </c>
      <c r="B12" t="s">
        <v>724</v>
      </c>
      <c r="C12" t="s">
        <v>729</v>
      </c>
      <c r="E12" s="650">
        <f>'Fiche de coûts'!L9-0</f>
        <v>6090.7380800000001</v>
      </c>
      <c r="G12" s="650">
        <f>SUM('Fiche de coûts'!$L$64:$L$86,'Fiche de coûts'!$L$96:$L$103)</f>
        <v>6088.1527977461956</v>
      </c>
    </row>
    <row r="13" spans="1:8" x14ac:dyDescent="0.25">
      <c r="A13" t="s">
        <v>731</v>
      </c>
      <c r="B13" t="s">
        <v>724</v>
      </c>
      <c r="C13" t="s">
        <v>732</v>
      </c>
      <c r="E13" s="645">
        <f>E11+E12</f>
        <v>6090.7380800000001</v>
      </c>
      <c r="G13" s="645">
        <f>G11+G12</f>
        <v>6088.1527977461956</v>
      </c>
    </row>
    <row r="15" spans="1:8" x14ac:dyDescent="0.25">
      <c r="A15" t="s">
        <v>734</v>
      </c>
      <c r="C15" t="s">
        <v>735</v>
      </c>
      <c r="G15" s="646">
        <f>'Fiche de coûts'!J22</f>
        <v>1587</v>
      </c>
    </row>
    <row r="17" spans="1:7" x14ac:dyDescent="0.25">
      <c r="A17" t="s">
        <v>733</v>
      </c>
    </row>
    <row r="19" spans="1:7" x14ac:dyDescent="0.25">
      <c r="A19" t="s">
        <v>736</v>
      </c>
    </row>
    <row r="20" spans="1:7" x14ac:dyDescent="0.25">
      <c r="A20" t="s">
        <v>737</v>
      </c>
    </row>
    <row r="21" spans="1:7" x14ac:dyDescent="0.25">
      <c r="A21" t="s">
        <v>738</v>
      </c>
    </row>
    <row r="22" spans="1:7" x14ac:dyDescent="0.25">
      <c r="A22" t="s">
        <v>739</v>
      </c>
      <c r="G22">
        <f>G13/(G15-G10)</f>
        <v>4.7184387290040135</v>
      </c>
    </row>
    <row r="27" spans="1:7" x14ac:dyDescent="0.25">
      <c r="A27" t="s">
        <v>740</v>
      </c>
      <c r="B27">
        <f>'[1]Fiche de coûts'!$C$17</f>
        <v>6</v>
      </c>
    </row>
    <row r="28" spans="1:7" x14ac:dyDescent="0.25">
      <c r="A28" t="s">
        <v>741</v>
      </c>
      <c r="B28" s="882">
        <f>'Fiche de coûts'!$L$8</f>
        <v>7871</v>
      </c>
    </row>
    <row r="29" spans="1:7" x14ac:dyDescent="0.25">
      <c r="A29" s="883" t="s">
        <v>742</v>
      </c>
      <c r="B29" s="884">
        <f>'Fiche de coûts'!$L$9</f>
        <v>6090.7380800000001</v>
      </c>
    </row>
    <row r="30" spans="1:7" x14ac:dyDescent="0.25">
      <c r="A30" s="883" t="s">
        <v>743</v>
      </c>
      <c r="B30" s="884">
        <f>'Fiche de coûts'!$L$10</f>
        <v>1780.2619199999999</v>
      </c>
    </row>
    <row r="31" spans="1:7" x14ac:dyDescent="0.25">
      <c r="A31" t="s">
        <v>620</v>
      </c>
      <c r="B31" s="882">
        <f>'Fiche de coûts'!$J$22</f>
        <v>1587</v>
      </c>
    </row>
    <row r="33" spans="1:2" x14ac:dyDescent="0.25">
      <c r="A33" t="s">
        <v>697</v>
      </c>
      <c r="B33">
        <f>ROUNDUP(B29/(B31-B30/B27),0)</f>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pageSetUpPr fitToPage="1"/>
  </sheetPr>
  <dimension ref="A1:F60"/>
  <sheetViews>
    <sheetView showGridLines="0" zoomScaleNormal="100" workbookViewId="0">
      <selection activeCell="B14" sqref="B14"/>
    </sheetView>
  </sheetViews>
  <sheetFormatPr baseColWidth="10" defaultRowHeight="15" x14ac:dyDescent="0.25"/>
  <cols>
    <col min="1" max="1" width="37.140625" customWidth="1"/>
    <col min="2" max="2" width="18.5703125" bestFit="1" customWidth="1"/>
    <col min="3" max="3" width="45.7109375" customWidth="1"/>
    <col min="5" max="5" width="45.85546875" customWidth="1"/>
  </cols>
  <sheetData>
    <row r="1" spans="1:4" ht="18.75" x14ac:dyDescent="0.3">
      <c r="A1" s="412" t="s">
        <v>373</v>
      </c>
      <c r="B1" s="412"/>
      <c r="C1" s="413"/>
      <c r="D1" s="413"/>
    </row>
    <row r="2" spans="1:4" x14ac:dyDescent="0.25">
      <c r="A2" s="413"/>
      <c r="B2" s="413"/>
      <c r="C2" s="413"/>
      <c r="D2" s="413"/>
    </row>
    <row r="3" spans="1:4" ht="18.75" x14ac:dyDescent="0.3">
      <c r="A3" s="414" t="s">
        <v>509</v>
      </c>
      <c r="B3" s="415">
        <f>'Fiche de coûts'!C17</f>
        <v>6</v>
      </c>
      <c r="C3" s="416" t="s">
        <v>419</v>
      </c>
      <c r="D3" s="413"/>
    </row>
    <row r="4" spans="1:4" ht="18.75" x14ac:dyDescent="0.25">
      <c r="A4" s="417" t="s">
        <v>510</v>
      </c>
      <c r="B4" s="418">
        <f>'Fiche de coûts'!I59</f>
        <v>2</v>
      </c>
      <c r="C4" s="419" t="s">
        <v>419</v>
      </c>
      <c r="D4" s="413"/>
    </row>
    <row r="5" spans="1:4" ht="18.75" x14ac:dyDescent="0.3">
      <c r="A5" s="414" t="s">
        <v>370</v>
      </c>
      <c r="B5" s="459"/>
      <c r="C5" s="416" t="s">
        <v>498</v>
      </c>
      <c r="D5" s="413"/>
    </row>
    <row r="6" spans="1:4" x14ac:dyDescent="0.25">
      <c r="A6" s="413"/>
      <c r="B6" s="413"/>
      <c r="C6" s="413"/>
      <c r="D6" s="413"/>
    </row>
    <row r="7" spans="1:4" x14ac:dyDescent="0.25">
      <c r="A7" s="413"/>
      <c r="B7" s="413"/>
      <c r="C7" s="413"/>
      <c r="D7" s="413"/>
    </row>
    <row r="8" spans="1:4" ht="31.5" x14ac:dyDescent="0.25">
      <c r="A8" s="420" t="s">
        <v>499</v>
      </c>
      <c r="B8" s="421" t="s">
        <v>378</v>
      </c>
      <c r="C8" s="422" t="s">
        <v>497</v>
      </c>
      <c r="D8" s="413"/>
    </row>
    <row r="9" spans="1:4" x14ac:dyDescent="0.25">
      <c r="A9" s="423"/>
      <c r="B9" s="424"/>
      <c r="C9" s="423"/>
      <c r="D9" s="413"/>
    </row>
    <row r="10" spans="1:4" x14ac:dyDescent="0.25">
      <c r="A10" s="425" t="s">
        <v>357</v>
      </c>
      <c r="B10" s="426"/>
      <c r="C10" s="426"/>
      <c r="D10" s="413"/>
    </row>
    <row r="11" spans="1:4" ht="30" x14ac:dyDescent="0.25">
      <c r="A11" s="460" t="s">
        <v>358</v>
      </c>
      <c r="B11" s="427">
        <f>IF(LEFT(A11,1)="O",(IF(B4&lt;=8,ROUND(VLOOKUP(B4,B41:C48,2,FALSE)/B4,0),ROUND((C48+(B4-8)*10)/B4,0))),0)</f>
        <v>0</v>
      </c>
      <c r="C11" s="428" t="s">
        <v>519</v>
      </c>
      <c r="D11" s="413"/>
    </row>
    <row r="12" spans="1:4" x14ac:dyDescent="0.25">
      <c r="A12" s="429"/>
      <c r="B12" s="430"/>
      <c r="C12" s="423"/>
      <c r="D12" s="413"/>
    </row>
    <row r="13" spans="1:4" x14ac:dyDescent="0.25">
      <c r="A13" s="425" t="s">
        <v>359</v>
      </c>
      <c r="B13" s="431"/>
      <c r="C13" s="432"/>
      <c r="D13" s="413"/>
    </row>
    <row r="14" spans="1:4" ht="95.25" customHeight="1" x14ac:dyDescent="0.25">
      <c r="A14" s="460" t="s">
        <v>358</v>
      </c>
      <c r="B14" s="427">
        <f>IF(LEFT(A14,1)="M",0,IF(LEFT(A14,1)="A",B3*B52,IF(LEFT(A14,1)="S",B3*B53,B3*B54)))</f>
        <v>0</v>
      </c>
      <c r="C14" s="433" t="str">
        <f>IF(LEFT(A14,1)="M","",IF(LEFT(A14,1)="A",C52,IF(LEFT(A14,1)="S",C53,C54)))</f>
        <v/>
      </c>
      <c r="D14" s="413"/>
    </row>
    <row r="15" spans="1:4" x14ac:dyDescent="0.25">
      <c r="A15" s="435"/>
      <c r="B15" s="436"/>
      <c r="C15" s="437"/>
      <c r="D15" s="434"/>
    </row>
    <row r="16" spans="1:4" x14ac:dyDescent="0.25">
      <c r="A16" s="425" t="s">
        <v>365</v>
      </c>
      <c r="B16" s="431"/>
      <c r="C16" s="432"/>
      <c r="D16" s="434"/>
    </row>
    <row r="17" spans="1:5" ht="60.75" customHeight="1" x14ac:dyDescent="0.25">
      <c r="A17" s="460" t="s">
        <v>358</v>
      </c>
      <c r="B17" s="577">
        <f>IF(LEFT(A17,1)="M",0,IF(LEFT(A17,1)="A",ROUND(VLOOKUP('Fiche de coûts'!C62,'Fiche de coûts'!A115:C144,3,FALSE)*B57*B5/20,0),IF(LEFT(A17,1)="S",ROUND(VLOOKUP('Fiche de coûts'!C62,'Fiche de coûts'!A115:C144,3,FALSE)*B58*B5/20,0),ROUND(VLOOKUP('Fiche de coûts'!C62,'Fiche de coûts'!A115:C144,3,FALSE)*B59*B5/20,0))))</f>
        <v>0</v>
      </c>
      <c r="C17" s="433" t="str">
        <f>IF(LEFT(A17,1)="M","",IF(LEFT(A17,1)="A",C57,IF(LEFT(A17,1)="S",C58,C59)))</f>
        <v/>
      </c>
      <c r="D17" s="576"/>
      <c r="E17" s="181"/>
    </row>
    <row r="18" spans="1:5" x14ac:dyDescent="0.25">
      <c r="A18" s="429"/>
      <c r="B18" s="430"/>
      <c r="C18" s="434"/>
      <c r="D18" s="413"/>
    </row>
    <row r="19" spans="1:5" x14ac:dyDescent="0.25">
      <c r="A19" s="438" t="s">
        <v>371</v>
      </c>
      <c r="B19" s="439">
        <f>B11+B14+B17</f>
        <v>0</v>
      </c>
      <c r="C19" s="434"/>
      <c r="D19" s="413"/>
    </row>
    <row r="20" spans="1:5" x14ac:dyDescent="0.25">
      <c r="A20" s="434"/>
      <c r="B20" s="434"/>
      <c r="C20" s="434"/>
      <c r="D20" s="413"/>
    </row>
    <row r="21" spans="1:5" x14ac:dyDescent="0.25">
      <c r="A21" s="434"/>
      <c r="B21" s="434"/>
      <c r="C21" s="434"/>
      <c r="D21" s="413"/>
    </row>
    <row r="22" spans="1:5" x14ac:dyDescent="0.25">
      <c r="A22" s="440" t="s">
        <v>393</v>
      </c>
      <c r="B22" s="434"/>
      <c r="C22" s="434"/>
      <c r="D22" s="413"/>
    </row>
    <row r="23" spans="1:5" x14ac:dyDescent="0.25">
      <c r="A23" s="440" t="s">
        <v>395</v>
      </c>
      <c r="B23" s="434"/>
      <c r="C23" s="434"/>
      <c r="D23" s="413"/>
    </row>
    <row r="24" spans="1:5" x14ac:dyDescent="0.25">
      <c r="A24" s="434"/>
      <c r="B24" s="434"/>
      <c r="C24" s="434"/>
      <c r="D24" s="413"/>
    </row>
    <row r="25" spans="1:5" x14ac:dyDescent="0.25">
      <c r="A25" s="434"/>
      <c r="B25" s="434"/>
      <c r="C25" s="434"/>
      <c r="D25" s="413"/>
    </row>
    <row r="26" spans="1:5" x14ac:dyDescent="0.25">
      <c r="A26" s="434"/>
      <c r="B26" s="434"/>
      <c r="C26" s="434"/>
      <c r="D26" s="413"/>
    </row>
    <row r="27" spans="1:5" x14ac:dyDescent="0.25">
      <c r="A27" s="434"/>
      <c r="B27" s="434"/>
      <c r="C27" s="434"/>
      <c r="D27" s="413"/>
    </row>
    <row r="28" spans="1:5" x14ac:dyDescent="0.25">
      <c r="A28" s="434"/>
      <c r="B28" s="434"/>
      <c r="C28" s="434"/>
      <c r="D28" s="413"/>
    </row>
    <row r="29" spans="1:5" x14ac:dyDescent="0.25">
      <c r="A29" s="434"/>
      <c r="B29" s="434"/>
      <c r="C29" s="434"/>
      <c r="D29" s="413"/>
    </row>
    <row r="30" spans="1:5" x14ac:dyDescent="0.25">
      <c r="A30" s="434"/>
      <c r="B30" s="434"/>
      <c r="C30" s="434"/>
      <c r="D30" s="413"/>
    </row>
    <row r="31" spans="1:5" x14ac:dyDescent="0.25">
      <c r="A31" s="434"/>
      <c r="B31" s="434"/>
      <c r="C31" s="434"/>
      <c r="D31" s="413"/>
    </row>
    <row r="32" spans="1:5" x14ac:dyDescent="0.25">
      <c r="A32" s="434"/>
      <c r="B32" s="434"/>
      <c r="C32" s="434"/>
      <c r="D32" s="413"/>
    </row>
    <row r="33" spans="1:4" x14ac:dyDescent="0.25">
      <c r="A33" s="434"/>
      <c r="B33" s="434"/>
      <c r="C33" s="434"/>
      <c r="D33" s="413"/>
    </row>
    <row r="34" spans="1:4" x14ac:dyDescent="0.25">
      <c r="A34" s="434"/>
      <c r="B34" s="434"/>
      <c r="C34" s="434"/>
      <c r="D34" s="413"/>
    </row>
    <row r="35" spans="1:4" x14ac:dyDescent="0.25">
      <c r="A35" s="434"/>
      <c r="B35" s="434"/>
      <c r="C35" s="434"/>
      <c r="D35" s="413"/>
    </row>
    <row r="36" spans="1:4" x14ac:dyDescent="0.25">
      <c r="A36" s="434"/>
      <c r="B36" s="434"/>
      <c r="C36" s="434"/>
      <c r="D36" s="413"/>
    </row>
    <row r="37" spans="1:4" x14ac:dyDescent="0.25">
      <c r="A37" s="434"/>
      <c r="B37" s="434"/>
      <c r="C37" s="434"/>
      <c r="D37" s="413"/>
    </row>
    <row r="38" spans="1:4" x14ac:dyDescent="0.25">
      <c r="A38" s="441" t="s">
        <v>372</v>
      </c>
      <c r="B38" s="442"/>
      <c r="C38" s="443"/>
      <c r="D38" s="413"/>
    </row>
    <row r="39" spans="1:4" x14ac:dyDescent="0.25">
      <c r="A39" s="444"/>
      <c r="B39" s="445"/>
      <c r="C39" s="446"/>
      <c r="D39" s="413"/>
    </row>
    <row r="40" spans="1:4" x14ac:dyDescent="0.25">
      <c r="A40" s="447" t="s">
        <v>357</v>
      </c>
      <c r="B40" s="448" t="s">
        <v>517</v>
      </c>
      <c r="C40" s="449" t="s">
        <v>518</v>
      </c>
      <c r="D40" s="413"/>
    </row>
    <row r="41" spans="1:4" x14ac:dyDescent="0.25">
      <c r="A41" s="444" t="s">
        <v>361</v>
      </c>
      <c r="B41" s="448">
        <v>1</v>
      </c>
      <c r="C41" s="449">
        <v>300</v>
      </c>
      <c r="D41" s="413"/>
    </row>
    <row r="42" spans="1:4" x14ac:dyDescent="0.25">
      <c r="A42" s="444" t="s">
        <v>511</v>
      </c>
      <c r="B42" s="448">
        <v>2</v>
      </c>
      <c r="C42" s="449">
        <f>C41+150</f>
        <v>450</v>
      </c>
      <c r="D42" s="413"/>
    </row>
    <row r="43" spans="1:4" x14ac:dyDescent="0.25">
      <c r="A43" s="444" t="s">
        <v>512</v>
      </c>
      <c r="B43" s="448">
        <v>3</v>
      </c>
      <c r="C43" s="449">
        <f>C42+100</f>
        <v>550</v>
      </c>
      <c r="D43" s="413"/>
    </row>
    <row r="44" spans="1:4" x14ac:dyDescent="0.25">
      <c r="A44" s="444" t="s">
        <v>513</v>
      </c>
      <c r="B44" s="448">
        <v>4</v>
      </c>
      <c r="C44" s="449">
        <f>C43+70</f>
        <v>620</v>
      </c>
      <c r="D44" s="413"/>
    </row>
    <row r="45" spans="1:4" x14ac:dyDescent="0.25">
      <c r="A45" s="444" t="s">
        <v>514</v>
      </c>
      <c r="B45" s="448">
        <v>5</v>
      </c>
      <c r="C45" s="449">
        <f>C44+50</f>
        <v>670</v>
      </c>
      <c r="D45" s="413"/>
    </row>
    <row r="46" spans="1:4" x14ac:dyDescent="0.25">
      <c r="A46" s="444" t="s">
        <v>515</v>
      </c>
      <c r="B46" s="448">
        <v>6</v>
      </c>
      <c r="C46" s="449">
        <f>C45+30</f>
        <v>700</v>
      </c>
      <c r="D46" s="413"/>
    </row>
    <row r="47" spans="1:4" x14ac:dyDescent="0.25">
      <c r="A47" s="444" t="s">
        <v>516</v>
      </c>
      <c r="B47" s="448">
        <v>7</v>
      </c>
      <c r="C47" s="449">
        <f>C46+20</f>
        <v>720</v>
      </c>
      <c r="D47" s="413"/>
    </row>
    <row r="48" spans="1:4" x14ac:dyDescent="0.25">
      <c r="A48" s="444" t="s">
        <v>520</v>
      </c>
      <c r="B48" s="448">
        <v>8</v>
      </c>
      <c r="C48" s="449">
        <f>C47+10</f>
        <v>730</v>
      </c>
      <c r="D48" s="413"/>
    </row>
    <row r="49" spans="1:6" x14ac:dyDescent="0.25">
      <c r="A49" s="450" t="s">
        <v>521</v>
      </c>
      <c r="B49" s="445"/>
      <c r="C49" s="446"/>
      <c r="D49" s="413"/>
    </row>
    <row r="50" spans="1:6" x14ac:dyDescent="0.25">
      <c r="A50" s="450"/>
      <c r="B50" s="445"/>
      <c r="C50" s="446"/>
      <c r="D50" s="413"/>
    </row>
    <row r="51" spans="1:6" ht="31.5" x14ac:dyDescent="0.25">
      <c r="A51" s="451" t="s">
        <v>359</v>
      </c>
      <c r="B51" s="452" t="s">
        <v>362</v>
      </c>
      <c r="C51" s="446"/>
      <c r="D51" s="413"/>
    </row>
    <row r="52" spans="1:6" ht="90" x14ac:dyDescent="0.25">
      <c r="A52" s="453" t="s">
        <v>363</v>
      </c>
      <c r="B52" s="454">
        <v>8</v>
      </c>
      <c r="C52" s="455" t="s">
        <v>677</v>
      </c>
      <c r="D52" s="413"/>
      <c r="E52" s="575"/>
      <c r="F52" s="575"/>
    </row>
    <row r="53" spans="1:6" ht="90" x14ac:dyDescent="0.25">
      <c r="A53" s="453" t="s">
        <v>364</v>
      </c>
      <c r="B53" s="454">
        <v>14</v>
      </c>
      <c r="C53" s="455" t="s">
        <v>678</v>
      </c>
      <c r="D53" s="413"/>
      <c r="E53" s="575"/>
    </row>
    <row r="54" spans="1:6" ht="75" x14ac:dyDescent="0.25">
      <c r="A54" s="453" t="s">
        <v>360</v>
      </c>
      <c r="B54" s="454">
        <v>19</v>
      </c>
      <c r="C54" s="455" t="s">
        <v>679</v>
      </c>
      <c r="D54" s="413"/>
    </row>
    <row r="55" spans="1:6" x14ac:dyDescent="0.25">
      <c r="A55" s="444"/>
      <c r="B55" s="445"/>
      <c r="C55" s="446"/>
      <c r="D55" s="413"/>
    </row>
    <row r="56" spans="1:6" x14ac:dyDescent="0.25">
      <c r="A56" s="451" t="s">
        <v>365</v>
      </c>
      <c r="B56" s="445" t="s">
        <v>377</v>
      </c>
      <c r="C56" s="446"/>
      <c r="D56" s="413"/>
    </row>
    <row r="57" spans="1:6" x14ac:dyDescent="0.25">
      <c r="A57" s="453" t="s">
        <v>363</v>
      </c>
      <c r="B57" s="454">
        <v>0.3</v>
      </c>
      <c r="C57" s="455" t="s">
        <v>366</v>
      </c>
      <c r="D57" s="413"/>
    </row>
    <row r="58" spans="1:6" ht="60" x14ac:dyDescent="0.25">
      <c r="A58" s="453" t="s">
        <v>364</v>
      </c>
      <c r="B58" s="454">
        <v>1.65</v>
      </c>
      <c r="C58" s="455" t="s">
        <v>420</v>
      </c>
      <c r="D58" s="413"/>
    </row>
    <row r="59" spans="1:6" ht="60" x14ac:dyDescent="0.25">
      <c r="A59" s="456" t="s">
        <v>360</v>
      </c>
      <c r="B59" s="457">
        <v>5.3</v>
      </c>
      <c r="C59" s="458" t="s">
        <v>367</v>
      </c>
      <c r="D59" s="413"/>
    </row>
    <row r="60" spans="1:6" x14ac:dyDescent="0.25">
      <c r="A60" s="413"/>
      <c r="B60" s="413"/>
      <c r="C60" s="413"/>
      <c r="D60" s="413"/>
    </row>
  </sheetData>
  <sheetProtection sheet="1" scenarios="1"/>
  <dataValidations count="2">
    <dataValidation type="list" allowBlank="1" showInputMessage="1" showErrorMessage="1" sqref="A14 A17" xr:uid="{00000000-0002-0000-0400-000000000000}">
      <formula1>"Menu déroulant,Autonome,Standard,Premium"</formula1>
    </dataValidation>
    <dataValidation type="list" allowBlank="1" showInputMessage="1" showErrorMessage="1" sqref="A11" xr:uid="{00000000-0002-0000-0400-000001000000}">
      <formula1>"Menu déroulant,OUI,NON"</formula1>
    </dataValidation>
  </dataValidations>
  <pageMargins left="0.7" right="0.7" top="0.75" bottom="0.75" header="0.3" footer="0.3"/>
  <pageSetup paperSize="9" scale="9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pageSetUpPr fitToPage="1"/>
  </sheetPr>
  <dimension ref="A1:G96"/>
  <sheetViews>
    <sheetView showGridLines="0" topLeftCell="A34" workbookViewId="0">
      <selection activeCell="B6" sqref="B6"/>
    </sheetView>
  </sheetViews>
  <sheetFormatPr baseColWidth="10" defaultRowHeight="15" x14ac:dyDescent="0.25"/>
  <cols>
    <col min="1" max="1" width="34" bestFit="1" customWidth="1"/>
    <col min="2" max="2" width="18.5703125" bestFit="1" customWidth="1"/>
    <col min="3" max="3" width="45.7109375" customWidth="1"/>
    <col min="5" max="5" width="45.85546875" customWidth="1"/>
  </cols>
  <sheetData>
    <row r="1" spans="1:3" ht="18.75" x14ac:dyDescent="0.3">
      <c r="A1" s="25" t="s">
        <v>374</v>
      </c>
      <c r="B1" s="25"/>
    </row>
    <row r="2" spans="1:3" ht="14.25" customHeight="1" x14ac:dyDescent="0.3">
      <c r="A2" s="173" t="s">
        <v>393</v>
      </c>
      <c r="B2" s="25"/>
    </row>
    <row r="3" spans="1:3" ht="15" customHeight="1" x14ac:dyDescent="0.3">
      <c r="A3" s="173" t="s">
        <v>394</v>
      </c>
      <c r="B3" s="25"/>
    </row>
    <row r="5" spans="1:3" ht="18.75" x14ac:dyDescent="0.3">
      <c r="A5" s="150" t="s">
        <v>418</v>
      </c>
      <c r="B5" s="152">
        <f>'Fiche de coûts'!C17</f>
        <v>6</v>
      </c>
      <c r="C5" s="221" t="s">
        <v>419</v>
      </c>
    </row>
    <row r="6" spans="1:3" ht="18.75" x14ac:dyDescent="0.3">
      <c r="A6" s="150" t="s">
        <v>370</v>
      </c>
      <c r="B6" s="459"/>
      <c r="C6" s="221" t="s">
        <v>417</v>
      </c>
    </row>
    <row r="9" spans="1:3" ht="31.5" x14ac:dyDescent="0.25">
      <c r="A9" s="238" t="s">
        <v>499</v>
      </c>
      <c r="B9" s="282" t="s">
        <v>537</v>
      </c>
      <c r="C9" s="227" t="s">
        <v>497</v>
      </c>
    </row>
    <row r="10" spans="1:3" ht="15.75" x14ac:dyDescent="0.25">
      <c r="A10" s="118"/>
      <c r="B10" s="285"/>
      <c r="C10" s="155"/>
    </row>
    <row r="11" spans="1:3" ht="15.75" x14ac:dyDescent="0.25">
      <c r="A11" s="158" t="s">
        <v>390</v>
      </c>
      <c r="B11" s="159"/>
      <c r="C11" s="160"/>
    </row>
    <row r="12" spans="1:3" ht="45" x14ac:dyDescent="0.25">
      <c r="A12" s="461" t="s">
        <v>358</v>
      </c>
      <c r="B12" s="228">
        <f>IF(LEFT(A12,1)="M",0,(IF(A12="RP INSTN",ROUND(VLOOKUP('Fiche de coûts'!C37,'Fiche de coûts'!A115:C144,3,FALSE)*5/40*B6,0),IF(A12="Formateur CEA",ROUND('Fiche de coûts'!C123*5/40*B6,0),IF(A12="Formateur non CEA",ROUND('Fiche de coûts'!C122*5/40*B6,0),ROUND('Fiche de coûts'!C122*5/40*B6,0))))))</f>
        <v>0</v>
      </c>
      <c r="C12" s="161" t="s">
        <v>392</v>
      </c>
    </row>
    <row r="13" spans="1:3" ht="15.75" x14ac:dyDescent="0.25">
      <c r="A13" s="162" t="s">
        <v>381</v>
      </c>
      <c r="B13" s="462"/>
      <c r="C13" s="163"/>
    </row>
    <row r="14" spans="1:3" ht="15.75" x14ac:dyDescent="0.25">
      <c r="A14" s="156"/>
      <c r="B14" s="229"/>
      <c r="C14" s="172"/>
    </row>
    <row r="15" spans="1:3" x14ac:dyDescent="0.25">
      <c r="A15" s="118"/>
      <c r="B15" s="230"/>
      <c r="C15" s="154"/>
    </row>
    <row r="16" spans="1:3" x14ac:dyDescent="0.25">
      <c r="A16" s="164" t="s">
        <v>375</v>
      </c>
      <c r="B16" s="231"/>
      <c r="C16" s="165"/>
    </row>
    <row r="17" spans="1:7" ht="59.25" customHeight="1" x14ac:dyDescent="0.25">
      <c r="A17" s="463" t="s">
        <v>358</v>
      </c>
      <c r="B17" s="232">
        <f>IF(LEFT(A17,1)="M",0,IF(LEFT(A17,1)="A",ROUND(B6*B76*VLOOKUP('Fiche de coûts'!C37,'Fiche de coûts'!A115:C144,3,FALSE)/20,0),IF(LEFT(A17,1)="S",ROUND(B6*B77*VLOOKUP('Fiche de coûts'!C37,'Fiche de coûts'!A115:C144,3,FALSE)/20,0),ROUND(B6*B78*VLOOKUP('Fiche de coûts'!C37,'Fiche de coûts'!A115:C144,3,FALSE)/20,0))))</f>
        <v>0</v>
      </c>
      <c r="C17" s="166" t="str">
        <f>IF(LEFT(A17,1)="M","",IF(LEFT(A17,1)="A",C76,IF(LEFT(A17,1)="S",C77,C78)))</f>
        <v/>
      </c>
    </row>
    <row r="18" spans="1:7" x14ac:dyDescent="0.25">
      <c r="A18" s="167" t="s">
        <v>376</v>
      </c>
      <c r="B18" s="233"/>
      <c r="C18" s="168"/>
    </row>
    <row r="19" spans="1:7" ht="46.5" customHeight="1" x14ac:dyDescent="0.25">
      <c r="A19" s="464" t="s">
        <v>358</v>
      </c>
      <c r="B19" s="234">
        <f>IF(LEFT(A19,1)="M",0,IF(LEFT(A19,1)="A",ROUND(B6*B76*'Fiche de coûts'!C122/20,0),IF(LEFT(A19,1)="S",ROUND(B6*B77*'Fiche de coûts'!C122/20,0),ROUND(B6*B78*'Fiche de coûts'!C122/20,0))))</f>
        <v>0</v>
      </c>
      <c r="C19" s="169" t="str">
        <f>IF(LEFT(A19,1)="M","",IF(LEFT(A19,1)="A",C76,IF(LEFT(A19,1)="S",C77,C78)))</f>
        <v/>
      </c>
    </row>
    <row r="20" spans="1:7" x14ac:dyDescent="0.25">
      <c r="A20" s="113" t="s">
        <v>381</v>
      </c>
      <c r="B20" s="465"/>
      <c r="C20" s="170"/>
    </row>
    <row r="21" spans="1:7" x14ac:dyDescent="0.25">
      <c r="A21" s="157"/>
      <c r="B21" s="235"/>
    </row>
    <row r="22" spans="1:7" ht="29.25" customHeight="1" x14ac:dyDescent="0.25">
      <c r="A22" s="157"/>
      <c r="B22" s="235"/>
      <c r="D22" s="151"/>
    </row>
    <row r="23" spans="1:7" x14ac:dyDescent="0.25">
      <c r="A23" s="164" t="s">
        <v>396</v>
      </c>
      <c r="B23" s="231"/>
      <c r="C23" s="165"/>
      <c r="D23" s="151"/>
    </row>
    <row r="24" spans="1:7" ht="50.25" customHeight="1" x14ac:dyDescent="0.25">
      <c r="A24" s="463" t="s">
        <v>358</v>
      </c>
      <c r="B24" s="232">
        <f>IF(LEFT(A24,1)="M",0,IF(LEFT(A24,1)="A",ROUND(B6*B81*VLOOKUP('Fiche de coûts'!C37,'Fiche de coûts'!A115:C144,3,FALSE)/20,0),IF(LEFT(A24,1)="S",ROUND(B6*B82*VLOOKUP('Fiche de coûts'!C37,'Fiche de coûts'!A115:C144,3,FALSE)/20,0),ROUND(B6*B83*VLOOKUP('Fiche de coûts'!C37,'Fiche de coûts'!A115:C144,3,FALSE)/20,0))))</f>
        <v>0</v>
      </c>
      <c r="C24" s="166" t="str">
        <f>IF(LEFT(A24,1)="M","",IF(LEFT(A24,1)="A",C81,IF(LEFT(A24,1)="S",C82,C83)))</f>
        <v/>
      </c>
      <c r="D24" s="151"/>
      <c r="E24" s="177"/>
      <c r="F24" s="177"/>
      <c r="G24" s="177"/>
    </row>
    <row r="25" spans="1:7" x14ac:dyDescent="0.25">
      <c r="A25" s="167" t="s">
        <v>397</v>
      </c>
      <c r="B25" s="233"/>
      <c r="C25" s="168"/>
    </row>
    <row r="26" spans="1:7" ht="60.75" customHeight="1" x14ac:dyDescent="0.25">
      <c r="A26" s="464" t="s">
        <v>358</v>
      </c>
      <c r="B26" s="234">
        <f>IF(LEFT(A26,1)="M",0,IF(LEFT(A26,1)="A",ROUND(B6*D81*'Fiche de coûts'!C122/20,0),IF(LEFT(A26,1)="S",ROUND(B6*D82*'Fiche de coûts'!C122/20,0),ROUND(B6*D83*'Fiche de coûts'!C122/20,0))))</f>
        <v>0</v>
      </c>
      <c r="C26" s="169" t="str">
        <f>IF(LEFT(A26,1)="M","",IF(LEFT(A26,1)="A",C81,IF(LEFT(A26,1)="S",C82,C83)))</f>
        <v/>
      </c>
    </row>
    <row r="27" spans="1:7" x14ac:dyDescent="0.25">
      <c r="A27" s="464" t="s">
        <v>398</v>
      </c>
      <c r="B27" s="234">
        <f>IF(LEFT(A27,1)&lt;&gt;"V",0,IF(A27="Voix off synthétique",ROUND(B6*B88*'Fiche de coûts'!C122/20,0),IF(A27="Voix off humaine",ROUND(B6*B89*'Fiche de coûts'!C122/20,0),ROUND(B6*B90*'Fiche de coûts'!C122/20,0))))</f>
        <v>0</v>
      </c>
      <c r="C27" s="169"/>
    </row>
    <row r="28" spans="1:7" x14ac:dyDescent="0.25">
      <c r="A28" s="464" t="s">
        <v>399</v>
      </c>
      <c r="B28" s="234">
        <f>IF(LEFT(A28,1)="C",0,IF(A28="Illustrations",ROUND(B6*B86*'Fiche de coûts'!C122/20,0),IF(A27="Iconographie",ROUND(B6*B87*'Fiche de coûts'!C122/20,0),ROUND(B6*B91*'Fiche de coûts'!C122/20,0))))</f>
        <v>0</v>
      </c>
      <c r="C28" s="169"/>
    </row>
    <row r="29" spans="1:7" x14ac:dyDescent="0.25">
      <c r="A29" s="464" t="s">
        <v>399</v>
      </c>
      <c r="B29" s="234">
        <f>IF(LEFT(A29,1)="C",0,IF(A29="Illustrations",ROUND(B6*B86*'Fiche de coûts'!C122/20,0),IF(A29="Iconographie",ROUND(B6*B87*'Fiche de coûts'!C122/20,0),ROUND(B6*B91*'Fiche de coûts'!C122/20,0))))</f>
        <v>0</v>
      </c>
      <c r="C29" s="169"/>
    </row>
    <row r="30" spans="1:7" x14ac:dyDescent="0.25">
      <c r="A30" s="464" t="s">
        <v>399</v>
      </c>
      <c r="B30" s="234">
        <f>IF(LEFT(A30,1)="C",0,IF(A30="Illustrations",ROUND(B6*B86*'Fiche de coûts'!C122/20,0),IF(A30="Iconographie",ROUND(B6*B87*'Fiche de coûts'!C122/20,0),ROUND(B6*B91*'Fiche de coûts'!C122/20,0))))</f>
        <v>0</v>
      </c>
      <c r="C30" s="169"/>
    </row>
    <row r="31" spans="1:7" x14ac:dyDescent="0.25">
      <c r="A31" s="113" t="s">
        <v>381</v>
      </c>
      <c r="B31" s="465"/>
      <c r="C31" s="170"/>
    </row>
    <row r="32" spans="1:7" x14ac:dyDescent="0.25">
      <c r="A32" s="156"/>
      <c r="B32" s="229"/>
      <c r="C32" s="174"/>
    </row>
    <row r="33" spans="1:3" x14ac:dyDescent="0.25">
      <c r="A33" s="156"/>
      <c r="B33" s="229"/>
      <c r="C33" s="174"/>
    </row>
    <row r="34" spans="1:3" x14ac:dyDescent="0.25">
      <c r="A34" s="164" t="s">
        <v>407</v>
      </c>
      <c r="B34" s="231"/>
      <c r="C34" s="165"/>
    </row>
    <row r="35" spans="1:3" ht="46.5" customHeight="1" x14ac:dyDescent="0.25">
      <c r="A35" s="466" t="s">
        <v>364</v>
      </c>
      <c r="B35" s="236">
        <f>IF(LEFT(A35,1)="M",0,IF(LEFT(A35,1)="A",ROUND(B6*B94*VLOOKUP('Fiche de coûts'!C37,'Fiche de coûts'!A115:C144,3,FALSE)/20,0),IF(LEFT(A35,1)="S",ROUND(B6*B95*VLOOKUP('Fiche de coûts'!C37,'Fiche de coûts'!A115:C144,3,FALSE)/20,0),ROUND(B6*B96*VLOOKUP('Fiche de coûts'!C37,'Fiche de coûts'!A115:C144,3,FALSE)/20,0))))</f>
        <v>0</v>
      </c>
      <c r="C35" s="175" t="str">
        <f>IF(LEFT(A35,1)="M","",IF(LEFT(A35,1)="A",C94,IF(LEFT(A35,1)="S",C95,C96)))</f>
        <v>Aide à l'intégration des contenus en ligne par le client. Fourniture de pages canevas. Vérification des quiz.</v>
      </c>
    </row>
    <row r="36" spans="1:3" x14ac:dyDescent="0.25">
      <c r="A36" s="156"/>
      <c r="B36" s="229"/>
      <c r="C36" s="174"/>
    </row>
    <row r="37" spans="1:3" x14ac:dyDescent="0.25">
      <c r="A37" s="153" t="s">
        <v>371</v>
      </c>
      <c r="B37" s="237">
        <f>B35+B31+B30+B29+B28+B27+B26+B24+B20+B19+B17+B13+B12</f>
        <v>0</v>
      </c>
      <c r="C37" s="174"/>
    </row>
    <row r="38" spans="1:3" x14ac:dyDescent="0.25">
      <c r="A38" s="156"/>
      <c r="B38" s="171"/>
      <c r="C38" s="174"/>
    </row>
    <row r="39" spans="1:3" x14ac:dyDescent="0.25">
      <c r="A39" s="156"/>
      <c r="B39" s="171"/>
      <c r="C39" s="174"/>
    </row>
    <row r="40" spans="1:3" x14ac:dyDescent="0.25">
      <c r="A40" s="156"/>
      <c r="B40" s="171"/>
      <c r="C40" s="174"/>
    </row>
    <row r="41" spans="1:3" x14ac:dyDescent="0.25">
      <c r="A41" s="156"/>
      <c r="B41" s="171"/>
      <c r="C41" s="174"/>
    </row>
    <row r="42" spans="1:3" x14ac:dyDescent="0.25">
      <c r="A42" s="239" t="s">
        <v>410</v>
      </c>
      <c r="B42" s="240"/>
      <c r="C42" s="174"/>
    </row>
    <row r="43" spans="1:3" x14ac:dyDescent="0.25">
      <c r="A43" s="241" t="str">
        <f>A11</f>
        <v>Conception cours numérique</v>
      </c>
      <c r="B43" s="242">
        <f>IF(LEFT(A12,2)="RP",B12,0)</f>
        <v>0</v>
      </c>
      <c r="C43" s="174"/>
    </row>
    <row r="44" spans="1:3" x14ac:dyDescent="0.25">
      <c r="A44" s="241" t="str">
        <f>A16</f>
        <v>Ingénierie digitale interne INSTN</v>
      </c>
      <c r="B44" s="242">
        <f>B17</f>
        <v>0</v>
      </c>
      <c r="C44" s="174"/>
    </row>
    <row r="45" spans="1:3" x14ac:dyDescent="0.25">
      <c r="A45" s="241" t="str">
        <f>A23</f>
        <v>Création des contenus INSTN</v>
      </c>
      <c r="B45" s="242">
        <f>B24</f>
        <v>0</v>
      </c>
      <c r="C45" s="174"/>
    </row>
    <row r="46" spans="1:3" x14ac:dyDescent="0.25">
      <c r="A46" s="241" t="str">
        <f>A34</f>
        <v>Intégration en ligne INSTN</v>
      </c>
      <c r="B46" s="242">
        <f>B35</f>
        <v>0</v>
      </c>
      <c r="C46" s="174"/>
    </row>
    <row r="47" spans="1:3" x14ac:dyDescent="0.25">
      <c r="A47" s="241" t="s">
        <v>411</v>
      </c>
      <c r="B47" s="242">
        <f>SUM(B43:B46)</f>
        <v>0</v>
      </c>
      <c r="C47" s="174"/>
    </row>
    <row r="48" spans="1:3" x14ac:dyDescent="0.25">
      <c r="A48" s="241"/>
      <c r="B48" s="242"/>
      <c r="C48" s="174"/>
    </row>
    <row r="49" spans="1:3" x14ac:dyDescent="0.25">
      <c r="A49" s="241" t="s">
        <v>412</v>
      </c>
      <c r="B49" s="242">
        <f>IF(A12="Formateur CEA",B12,0)</f>
        <v>0</v>
      </c>
      <c r="C49" s="174"/>
    </row>
    <row r="50" spans="1:3" x14ac:dyDescent="0.25">
      <c r="A50" s="241" t="s">
        <v>413</v>
      </c>
      <c r="B50" s="242">
        <f>IF(A12="Formateur non CEA",B12,0)</f>
        <v>0</v>
      </c>
      <c r="C50" s="174"/>
    </row>
    <row r="51" spans="1:3" x14ac:dyDescent="0.25">
      <c r="A51" s="243"/>
      <c r="B51" s="244"/>
      <c r="C51" s="154"/>
    </row>
    <row r="52" spans="1:3" x14ac:dyDescent="0.25">
      <c r="A52" s="241" t="s">
        <v>414</v>
      </c>
      <c r="B52" s="244"/>
      <c r="C52" s="154"/>
    </row>
    <row r="53" spans="1:3" x14ac:dyDescent="0.25">
      <c r="A53" s="241" t="str">
        <f>A43</f>
        <v>Conception cours numérique</v>
      </c>
      <c r="B53" s="242">
        <f>IF(A12="Prestataire",B12,0)</f>
        <v>0</v>
      </c>
      <c r="C53" s="154"/>
    </row>
    <row r="54" spans="1:3" x14ac:dyDescent="0.25">
      <c r="A54" s="241" t="s">
        <v>415</v>
      </c>
      <c r="B54" s="242">
        <f>B13+B19+B20+B26+B27+B28+B29+B30+B31</f>
        <v>0</v>
      </c>
      <c r="C54" s="154"/>
    </row>
    <row r="55" spans="1:3" x14ac:dyDescent="0.25">
      <c r="A55" s="241" t="s">
        <v>416</v>
      </c>
      <c r="B55" s="242">
        <f>B53+B54</f>
        <v>0</v>
      </c>
      <c r="C55" s="154"/>
    </row>
    <row r="56" spans="1:3" x14ac:dyDescent="0.25">
      <c r="A56" s="243"/>
      <c r="B56" s="245"/>
      <c r="C56" s="154"/>
    </row>
    <row r="57" spans="1:3" x14ac:dyDescent="0.25">
      <c r="A57" s="246" t="s">
        <v>371</v>
      </c>
      <c r="B57" s="247">
        <f>SUM(B47:B54)</f>
        <v>0</v>
      </c>
      <c r="C57" s="151"/>
    </row>
    <row r="58" spans="1:3" x14ac:dyDescent="0.25">
      <c r="A58" s="151"/>
      <c r="B58" s="151"/>
      <c r="C58" s="151"/>
    </row>
    <row r="59" spans="1:3" x14ac:dyDescent="0.25">
      <c r="A59" s="151"/>
      <c r="B59" s="151"/>
      <c r="C59" s="151"/>
    </row>
    <row r="60" spans="1:3" x14ac:dyDescent="0.25">
      <c r="A60" s="151"/>
      <c r="B60" s="151"/>
      <c r="C60" s="151"/>
    </row>
    <row r="61" spans="1:3" x14ac:dyDescent="0.25">
      <c r="A61" s="151"/>
      <c r="B61" s="151"/>
      <c r="C61" s="151"/>
    </row>
    <row r="62" spans="1:3" x14ac:dyDescent="0.25">
      <c r="A62" s="151"/>
      <c r="B62" s="151"/>
      <c r="C62" s="151"/>
    </row>
    <row r="63" spans="1:3" x14ac:dyDescent="0.25">
      <c r="A63" s="151"/>
      <c r="B63" s="151"/>
      <c r="C63" s="151"/>
    </row>
    <row r="64" spans="1:3" x14ac:dyDescent="0.25">
      <c r="A64" s="151"/>
      <c r="B64" s="151"/>
      <c r="C64" s="151"/>
    </row>
    <row r="65" spans="1:4" x14ac:dyDescent="0.25">
      <c r="A65" s="151"/>
      <c r="B65" s="151"/>
      <c r="C65" s="151"/>
    </row>
    <row r="66" spans="1:4" x14ac:dyDescent="0.25">
      <c r="A66" s="151"/>
      <c r="B66" s="151"/>
      <c r="C66" s="151"/>
    </row>
    <row r="67" spans="1:4" x14ac:dyDescent="0.25">
      <c r="A67" s="151"/>
      <c r="B67" s="151"/>
      <c r="C67" s="151"/>
    </row>
    <row r="68" spans="1:4" x14ac:dyDescent="0.25">
      <c r="A68" s="151"/>
      <c r="B68" s="151"/>
      <c r="C68" s="151"/>
    </row>
    <row r="69" spans="1:4" x14ac:dyDescent="0.25">
      <c r="A69" s="151"/>
      <c r="B69" s="151"/>
      <c r="C69" s="151"/>
    </row>
    <row r="70" spans="1:4" x14ac:dyDescent="0.25">
      <c r="A70" s="151"/>
      <c r="B70" s="151"/>
      <c r="C70" s="151"/>
    </row>
    <row r="71" spans="1:4" x14ac:dyDescent="0.25">
      <c r="A71" s="151"/>
      <c r="B71" s="151"/>
      <c r="C71" s="151"/>
    </row>
    <row r="72" spans="1:4" x14ac:dyDescent="0.25">
      <c r="A72" s="151"/>
      <c r="B72" s="151"/>
      <c r="C72" s="151"/>
    </row>
    <row r="73" spans="1:4" x14ac:dyDescent="0.25">
      <c r="A73" s="248" t="s">
        <v>372</v>
      </c>
      <c r="B73" s="249"/>
      <c r="C73" s="250"/>
      <c r="D73" s="251"/>
    </row>
    <row r="74" spans="1:4" x14ac:dyDescent="0.25">
      <c r="A74" s="252"/>
      <c r="B74" s="253"/>
      <c r="C74" s="253"/>
      <c r="D74" s="254"/>
    </row>
    <row r="75" spans="1:4" ht="15.75" x14ac:dyDescent="0.25">
      <c r="A75" s="255" t="s">
        <v>379</v>
      </c>
      <c r="B75" s="256" t="s">
        <v>380</v>
      </c>
      <c r="C75" s="253"/>
      <c r="D75" s="257"/>
    </row>
    <row r="76" spans="1:4" x14ac:dyDescent="0.25">
      <c r="A76" s="258" t="s">
        <v>363</v>
      </c>
      <c r="B76" s="259">
        <v>1</v>
      </c>
      <c r="C76" s="259" t="s">
        <v>391</v>
      </c>
      <c r="D76" s="254"/>
    </row>
    <row r="77" spans="1:4" ht="30" x14ac:dyDescent="0.25">
      <c r="A77" s="258" t="s">
        <v>364</v>
      </c>
      <c r="B77" s="259">
        <v>5</v>
      </c>
      <c r="C77" s="259" t="s">
        <v>382</v>
      </c>
      <c r="D77" s="254"/>
    </row>
    <row r="78" spans="1:4" ht="45" x14ac:dyDescent="0.25">
      <c r="A78" s="258" t="s">
        <v>360</v>
      </c>
      <c r="B78" s="259">
        <v>12</v>
      </c>
      <c r="C78" s="259" t="s">
        <v>383</v>
      </c>
      <c r="D78" s="254"/>
    </row>
    <row r="79" spans="1:4" x14ac:dyDescent="0.25">
      <c r="A79" s="252"/>
      <c r="B79" s="253"/>
      <c r="C79" s="253"/>
      <c r="D79" s="254"/>
    </row>
    <row r="80" spans="1:4" ht="45" x14ac:dyDescent="0.25">
      <c r="A80" s="255" t="s">
        <v>388</v>
      </c>
      <c r="B80" s="260" t="s">
        <v>422</v>
      </c>
      <c r="C80" s="253"/>
      <c r="D80" s="257" t="s">
        <v>421</v>
      </c>
    </row>
    <row r="81" spans="1:5" ht="45" x14ac:dyDescent="0.25">
      <c r="A81" s="258" t="s">
        <v>363</v>
      </c>
      <c r="B81" s="259">
        <v>1.5</v>
      </c>
      <c r="C81" s="259" t="s">
        <v>522</v>
      </c>
      <c r="D81" s="578">
        <v>1.5</v>
      </c>
      <c r="E81" s="575"/>
    </row>
    <row r="82" spans="1:5" ht="30" x14ac:dyDescent="0.25">
      <c r="A82" s="258" t="s">
        <v>364</v>
      </c>
      <c r="B82" s="259">
        <v>12</v>
      </c>
      <c r="C82" s="259" t="s">
        <v>384</v>
      </c>
      <c r="D82" s="578">
        <v>12</v>
      </c>
    </row>
    <row r="83" spans="1:5" ht="45" x14ac:dyDescent="0.25">
      <c r="A83" s="258" t="s">
        <v>360</v>
      </c>
      <c r="B83" s="259">
        <v>30</v>
      </c>
      <c r="C83" s="259" t="s">
        <v>385</v>
      </c>
      <c r="D83" s="578">
        <v>30</v>
      </c>
    </row>
    <row r="84" spans="1:5" x14ac:dyDescent="0.25">
      <c r="A84" s="258"/>
      <c r="B84" s="259"/>
      <c r="C84" s="259"/>
      <c r="D84" s="254"/>
    </row>
    <row r="85" spans="1:5" ht="30" x14ac:dyDescent="0.25">
      <c r="A85" s="243" t="s">
        <v>406</v>
      </c>
      <c r="B85" s="260" t="s">
        <v>421</v>
      </c>
      <c r="C85" s="259"/>
      <c r="D85" s="254"/>
    </row>
    <row r="86" spans="1:5" x14ac:dyDescent="0.25">
      <c r="A86" s="258" t="s">
        <v>400</v>
      </c>
      <c r="B86" s="259">
        <v>8</v>
      </c>
      <c r="C86" s="253"/>
      <c r="D86" s="254"/>
    </row>
    <row r="87" spans="1:5" x14ac:dyDescent="0.25">
      <c r="A87" s="258" t="s">
        <v>401</v>
      </c>
      <c r="B87" s="259">
        <v>2</v>
      </c>
      <c r="C87" s="253"/>
      <c r="D87" s="254"/>
    </row>
    <row r="88" spans="1:5" x14ac:dyDescent="0.25">
      <c r="A88" s="258" t="s">
        <v>402</v>
      </c>
      <c r="B88" s="259">
        <v>3</v>
      </c>
      <c r="C88" s="253"/>
      <c r="D88" s="254"/>
    </row>
    <row r="89" spans="1:5" x14ac:dyDescent="0.25">
      <c r="A89" s="252" t="s">
        <v>403</v>
      </c>
      <c r="B89" s="253">
        <v>4</v>
      </c>
      <c r="C89" s="253"/>
      <c r="D89" s="254"/>
    </row>
    <row r="90" spans="1:5" x14ac:dyDescent="0.25">
      <c r="A90" s="261" t="s">
        <v>404</v>
      </c>
      <c r="B90" s="253">
        <v>8</v>
      </c>
      <c r="C90" s="253"/>
      <c r="D90" s="254"/>
    </row>
    <row r="91" spans="1:5" x14ac:dyDescent="0.25">
      <c r="A91" s="258" t="s">
        <v>405</v>
      </c>
      <c r="B91" s="259">
        <v>2</v>
      </c>
      <c r="C91" s="253"/>
      <c r="D91" s="254"/>
    </row>
    <row r="92" spans="1:5" x14ac:dyDescent="0.25">
      <c r="A92" s="258"/>
      <c r="B92" s="259"/>
      <c r="C92" s="259"/>
      <c r="D92" s="254"/>
    </row>
    <row r="93" spans="1:5" ht="30" x14ac:dyDescent="0.25">
      <c r="A93" s="255" t="s">
        <v>389</v>
      </c>
      <c r="B93" s="260" t="s">
        <v>421</v>
      </c>
      <c r="C93" s="253"/>
      <c r="D93" s="257"/>
    </row>
    <row r="94" spans="1:5" x14ac:dyDescent="0.25">
      <c r="A94" s="258" t="s">
        <v>363</v>
      </c>
      <c r="B94" s="253">
        <v>0.5</v>
      </c>
      <c r="C94" s="259" t="s">
        <v>386</v>
      </c>
      <c r="D94" s="254"/>
    </row>
    <row r="95" spans="1:5" ht="45" x14ac:dyDescent="0.25">
      <c r="A95" s="258" t="s">
        <v>364</v>
      </c>
      <c r="B95" s="579">
        <v>1.25</v>
      </c>
      <c r="C95" s="259" t="s">
        <v>387</v>
      </c>
      <c r="D95" s="254"/>
    </row>
    <row r="96" spans="1:5" x14ac:dyDescent="0.25">
      <c r="A96" s="262" t="s">
        <v>360</v>
      </c>
      <c r="B96" s="263">
        <v>3</v>
      </c>
      <c r="C96" s="264" t="s">
        <v>408</v>
      </c>
      <c r="D96" s="265"/>
    </row>
  </sheetData>
  <sheetProtection sheet="1" scenarios="1"/>
  <dataValidations count="4">
    <dataValidation type="list" allowBlank="1" showInputMessage="1" showErrorMessage="1" sqref="A35 A17 A19 A26 A24" xr:uid="{00000000-0002-0000-0500-000000000000}">
      <formula1>"Menu déroulant,Autonome,Standard,Premium"</formula1>
    </dataValidation>
    <dataValidation type="list" allowBlank="1" showInputMessage="1" showErrorMessage="1" sqref="A12" xr:uid="{00000000-0002-0000-0500-000001000000}">
      <formula1>"Menu déroulant,RP INSTN,Formateur CEA,Formateur non CEA,Prestataire"</formula1>
    </dataValidation>
    <dataValidation type="list" allowBlank="1" showInputMessage="1" showErrorMessage="1" sqref="A27" xr:uid="{00000000-0002-0000-0500-000002000000}">
      <formula1>"Choisir Option Voix,Voix off synthétique,Voix off humaine, Voix off acteurs"</formula1>
    </dataValidation>
    <dataValidation type="list" allowBlank="1" showInputMessage="1" showErrorMessage="1" sqref="A28:A30" xr:uid="{00000000-0002-0000-0500-000003000000}">
      <formula1>"Choisir Autre Option,Illustrations,Iconographie,Sous-titres"</formula1>
    </dataValidation>
  </dataValidations>
  <pageMargins left="0.7" right="0.7" top="0.75" bottom="0.75" header="0.3" footer="0.3"/>
  <pageSetup paperSize="9" scale="8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59999389629810485"/>
    <pageSetUpPr fitToPage="1"/>
  </sheetPr>
  <dimension ref="A1:I80"/>
  <sheetViews>
    <sheetView showGridLines="0" topLeftCell="A13" zoomScale="115" zoomScaleNormal="115" workbookViewId="0">
      <selection activeCell="C39" sqref="C39"/>
    </sheetView>
  </sheetViews>
  <sheetFormatPr baseColWidth="10" defaultRowHeight="15" x14ac:dyDescent="0.25"/>
  <cols>
    <col min="1" max="1" width="79.28515625" customWidth="1"/>
    <col min="3" max="3" width="12.28515625" customWidth="1"/>
    <col min="4" max="4" width="12.140625" customWidth="1"/>
    <col min="5" max="5" width="13.42578125" customWidth="1"/>
  </cols>
  <sheetData>
    <row r="1" spans="1:9" ht="18.75" x14ac:dyDescent="0.3">
      <c r="A1" s="25" t="s">
        <v>159</v>
      </c>
    </row>
    <row r="3" spans="1:9" x14ac:dyDescent="0.25">
      <c r="A3" s="23" t="s">
        <v>658</v>
      </c>
      <c r="B3" s="27" t="s">
        <v>160</v>
      </c>
      <c r="C3" s="24" t="s">
        <v>85</v>
      </c>
      <c r="D3" s="27" t="s">
        <v>86</v>
      </c>
    </row>
    <row r="4" spans="1:9" x14ac:dyDescent="0.25">
      <c r="A4" s="5" t="s">
        <v>51</v>
      </c>
      <c r="B4" s="524">
        <v>1000</v>
      </c>
      <c r="C4" s="541"/>
      <c r="D4" s="26">
        <f t="shared" ref="D4:D9" si="0">B4*C4</f>
        <v>0</v>
      </c>
    </row>
    <row r="5" spans="1:9" x14ac:dyDescent="0.25">
      <c r="A5" s="5" t="s">
        <v>52</v>
      </c>
      <c r="B5" s="524">
        <v>1000</v>
      </c>
      <c r="C5" s="541"/>
      <c r="D5" s="26">
        <f t="shared" si="0"/>
        <v>0</v>
      </c>
    </row>
    <row r="6" spans="1:9" x14ac:dyDescent="0.25">
      <c r="A6" s="5" t="s">
        <v>53</v>
      </c>
      <c r="B6" s="524">
        <v>1000</v>
      </c>
      <c r="C6" s="541"/>
      <c r="D6" s="26">
        <f t="shared" si="0"/>
        <v>0</v>
      </c>
    </row>
    <row r="7" spans="1:9" x14ac:dyDescent="0.25">
      <c r="A7" s="5" t="s">
        <v>55</v>
      </c>
      <c r="B7" s="524">
        <v>5000</v>
      </c>
      <c r="C7" s="541"/>
      <c r="D7" s="26">
        <f t="shared" si="0"/>
        <v>0</v>
      </c>
    </row>
    <row r="8" spans="1:9" x14ac:dyDescent="0.25">
      <c r="A8" s="5" t="s">
        <v>54</v>
      </c>
      <c r="B8" s="524">
        <v>1000</v>
      </c>
      <c r="C8" s="541"/>
      <c r="D8" s="26">
        <f t="shared" si="0"/>
        <v>0</v>
      </c>
    </row>
    <row r="9" spans="1:9" x14ac:dyDescent="0.25">
      <c r="A9" s="632" t="s">
        <v>701</v>
      </c>
      <c r="B9" s="542"/>
      <c r="C9" s="541"/>
      <c r="D9" s="26">
        <f t="shared" si="0"/>
        <v>0</v>
      </c>
    </row>
    <row r="10" spans="1:9" ht="15.75" x14ac:dyDescent="0.25">
      <c r="A10" s="854" t="s">
        <v>87</v>
      </c>
      <c r="B10" s="854"/>
      <c r="C10" s="854"/>
      <c r="D10" s="43">
        <f>SUM(D4:D9)</f>
        <v>0</v>
      </c>
    </row>
    <row r="13" spans="1:9" ht="15.75" x14ac:dyDescent="0.25">
      <c r="A13" s="854" t="s">
        <v>88</v>
      </c>
      <c r="B13" s="854"/>
      <c r="C13" s="854"/>
      <c r="D13" s="43">
        <f>B18*C18+B19*C19+B20*C20+B21*C21+B22*C22+B23*C23+D18*E18+D19*E19+D20*E20+D21*E21+D22*E22+D23*E23+F18*G18+F19*G19+F20*G20+F21*G21+F22*G22+F23*G23+H18*I18+H19*I19+H20*I20+H21*I21+H22*I22+H23*I23+B29*C29+B30*C30+B31*C31+B32*C32+D29*E29+D30*E30+D31*E31+D32*E32+F29*G29+F30*G30+F31*G31+F32*G32+H29*I29+H30*I30+H31*I31+H32*I32+B37*C37+B38*C38+B39*C39+B40*C40+D37*E37+D38*E38+D39*E39+D40*E40+F37*G37+F38*G38+F39*G39+F40*G40+H37*I37+H38*I38+H39*I39+H40*I40+B45*C45+B46*C46+B47*C47+B48*C48+B49*C49+B50*C50+B51*C51+B52*C52+B54*C54+B55*C55+D45*E45+D46*E46+D47*E47+D48*E48+D49*E49+D50*E50+D51*E51+D52*E52+D54*E54+D55*E55+F45*G45+F46*G46+F47*G47+F48*G48+F49*G49+F50*G50+F51*G51+F52*G52+F53*G53+F54*G54+F55*G55+H45*I45+H46*I46+H47*I47+H48*I48+H49*I49+H50*I50+H51*I51+H52*I52+H53*I53+H54*I54+H55*I55+C59*D59+C61*D61+C63*D63+C65*D65+C66*D66+C67*D67+C68*D68+C69*D69+C70*D70+C73*D73+C74*D74+C75*D75+C76*D76+E59*F59+E61*F61+E63*F63+E65*F65+E66*F66+E67*F67+E68*F68+E69*F69+E70*F70++E73*F73+E74*F74+E75*F75+E76*F76</f>
        <v>400</v>
      </c>
    </row>
    <row r="14" spans="1:9" ht="15.75" thickBot="1" x14ac:dyDescent="0.3"/>
    <row r="15" spans="1:9" ht="15.6" customHeight="1" thickBot="1" x14ac:dyDescent="0.3">
      <c r="B15" s="851" t="s">
        <v>57</v>
      </c>
      <c r="C15" s="852"/>
      <c r="D15" s="852"/>
      <c r="E15" s="853"/>
      <c r="F15" s="851" t="s">
        <v>71</v>
      </c>
      <c r="G15" s="852"/>
      <c r="H15" s="852"/>
      <c r="I15" s="853"/>
    </row>
    <row r="16" spans="1:9" ht="28.9" customHeight="1" x14ac:dyDescent="0.25">
      <c r="A16" s="855" t="s">
        <v>84</v>
      </c>
      <c r="B16" s="836" t="s">
        <v>70</v>
      </c>
      <c r="C16" s="837"/>
      <c r="D16" s="850" t="s">
        <v>676</v>
      </c>
      <c r="E16" s="839"/>
      <c r="F16" s="836" t="s">
        <v>70</v>
      </c>
      <c r="G16" s="849"/>
      <c r="H16" s="850" t="s">
        <v>676</v>
      </c>
      <c r="I16" s="839"/>
    </row>
    <row r="17" spans="1:9" x14ac:dyDescent="0.25">
      <c r="A17" s="856"/>
      <c r="B17" s="502" t="s">
        <v>161</v>
      </c>
      <c r="C17" s="30" t="s">
        <v>85</v>
      </c>
      <c r="D17" s="29" t="s">
        <v>161</v>
      </c>
      <c r="E17" s="30" t="s">
        <v>85</v>
      </c>
      <c r="F17" s="29" t="s">
        <v>161</v>
      </c>
      <c r="G17" s="115" t="s">
        <v>85</v>
      </c>
      <c r="H17" s="29" t="s">
        <v>161</v>
      </c>
      <c r="I17" s="30" t="s">
        <v>85</v>
      </c>
    </row>
    <row r="18" spans="1:9" x14ac:dyDescent="0.25">
      <c r="A18" s="36" t="s">
        <v>80</v>
      </c>
      <c r="B18" s="514">
        <v>370</v>
      </c>
      <c r="C18" s="543"/>
      <c r="D18" s="516">
        <f t="shared" ref="D18:D23" si="1">ROUND(B18*0.7,0)</f>
        <v>259</v>
      </c>
      <c r="E18" s="543"/>
      <c r="F18" s="516">
        <v>247</v>
      </c>
      <c r="G18" s="537"/>
      <c r="H18" s="516">
        <f t="shared" ref="H18:H23" si="2">ROUND(F18*0.7,0)</f>
        <v>173</v>
      </c>
      <c r="I18" s="543"/>
    </row>
    <row r="19" spans="1:9" x14ac:dyDescent="0.25">
      <c r="A19" s="36" t="s">
        <v>81</v>
      </c>
      <c r="B19" s="514">
        <v>700</v>
      </c>
      <c r="C19" s="543"/>
      <c r="D19" s="516">
        <f t="shared" si="1"/>
        <v>490</v>
      </c>
      <c r="E19" s="543"/>
      <c r="F19" s="516">
        <v>467</v>
      </c>
      <c r="G19" s="537"/>
      <c r="H19" s="516">
        <f t="shared" si="2"/>
        <v>327</v>
      </c>
      <c r="I19" s="543"/>
    </row>
    <row r="20" spans="1:9" x14ac:dyDescent="0.25">
      <c r="A20" s="36" t="s">
        <v>675</v>
      </c>
      <c r="B20" s="514">
        <v>1100</v>
      </c>
      <c r="C20" s="543"/>
      <c r="D20" s="516">
        <f t="shared" si="1"/>
        <v>770</v>
      </c>
      <c r="E20" s="543"/>
      <c r="F20" s="516">
        <v>733</v>
      </c>
      <c r="G20" s="537"/>
      <c r="H20" s="516">
        <f t="shared" si="2"/>
        <v>513</v>
      </c>
      <c r="I20" s="543"/>
    </row>
    <row r="21" spans="1:9" x14ac:dyDescent="0.25">
      <c r="A21" s="36" t="s">
        <v>82</v>
      </c>
      <c r="B21" s="514">
        <v>1700</v>
      </c>
      <c r="C21" s="543"/>
      <c r="D21" s="516">
        <f t="shared" si="1"/>
        <v>1190</v>
      </c>
      <c r="E21" s="543"/>
      <c r="F21" s="516">
        <v>1133</v>
      </c>
      <c r="G21" s="537"/>
      <c r="H21" s="516">
        <f t="shared" si="2"/>
        <v>793</v>
      </c>
      <c r="I21" s="543"/>
    </row>
    <row r="22" spans="1:9" x14ac:dyDescent="0.25">
      <c r="A22" s="60" t="s">
        <v>83</v>
      </c>
      <c r="B22" s="515">
        <v>800</v>
      </c>
      <c r="C22" s="544"/>
      <c r="D22" s="517">
        <f t="shared" si="1"/>
        <v>560</v>
      </c>
      <c r="E22" s="544"/>
      <c r="F22" s="517">
        <v>533</v>
      </c>
      <c r="G22" s="546"/>
      <c r="H22" s="517">
        <f t="shared" si="2"/>
        <v>373</v>
      </c>
      <c r="I22" s="544"/>
    </row>
    <row r="23" spans="1:9" ht="15.75" thickBot="1" x14ac:dyDescent="0.3">
      <c r="A23" s="633" t="s">
        <v>701</v>
      </c>
      <c r="B23" s="540"/>
      <c r="C23" s="545"/>
      <c r="D23" s="518">
        <f t="shared" si="1"/>
        <v>0</v>
      </c>
      <c r="E23" s="545"/>
      <c r="F23" s="518">
        <f>ROUND(B23*0.65,0)</f>
        <v>0</v>
      </c>
      <c r="G23" s="538"/>
      <c r="H23" s="518">
        <f t="shared" si="2"/>
        <v>0</v>
      </c>
      <c r="I23" s="545"/>
    </row>
    <row r="25" spans="1:9" ht="15.75" thickBot="1" x14ac:dyDescent="0.3"/>
    <row r="26" spans="1:9" ht="15.75" thickBot="1" x14ac:dyDescent="0.3">
      <c r="B26" s="851" t="s">
        <v>57</v>
      </c>
      <c r="C26" s="852"/>
      <c r="D26" s="852"/>
      <c r="E26" s="853"/>
      <c r="F26" s="852" t="s">
        <v>71</v>
      </c>
      <c r="G26" s="852"/>
      <c r="H26" s="852"/>
      <c r="I26" s="853"/>
    </row>
    <row r="27" spans="1:9" x14ac:dyDescent="0.25">
      <c r="A27" s="857" t="s">
        <v>77</v>
      </c>
      <c r="B27" s="836" t="s">
        <v>70</v>
      </c>
      <c r="C27" s="837"/>
      <c r="D27" s="838" t="s">
        <v>72</v>
      </c>
      <c r="E27" s="839"/>
      <c r="F27" s="836" t="s">
        <v>70</v>
      </c>
      <c r="G27" s="837"/>
      <c r="H27" s="838" t="s">
        <v>72</v>
      </c>
      <c r="I27" s="839"/>
    </row>
    <row r="28" spans="1:9" x14ac:dyDescent="0.25">
      <c r="A28" s="858"/>
      <c r="B28" s="29" t="s">
        <v>161</v>
      </c>
      <c r="C28" s="30" t="s">
        <v>85</v>
      </c>
      <c r="D28" s="28" t="s">
        <v>161</v>
      </c>
      <c r="E28" s="30" t="s">
        <v>85</v>
      </c>
      <c r="F28" s="29" t="s">
        <v>161</v>
      </c>
      <c r="G28" s="30" t="s">
        <v>85</v>
      </c>
      <c r="H28" s="28" t="s">
        <v>161</v>
      </c>
      <c r="I28" s="30" t="s">
        <v>85</v>
      </c>
    </row>
    <row r="29" spans="1:9" x14ac:dyDescent="0.25">
      <c r="A29" s="34" t="s">
        <v>79</v>
      </c>
      <c r="B29" s="516">
        <v>1600</v>
      </c>
      <c r="C29" s="543"/>
      <c r="D29" s="519">
        <f>ROUND(B29*0.8,0)</f>
        <v>1280</v>
      </c>
      <c r="E29" s="543"/>
      <c r="F29" s="516">
        <v>900</v>
      </c>
      <c r="G29" s="543"/>
      <c r="H29" s="519">
        <f>ROUND(F29*0.8,0)</f>
        <v>720</v>
      </c>
      <c r="I29" s="543"/>
    </row>
    <row r="30" spans="1:9" x14ac:dyDescent="0.25">
      <c r="A30" s="34" t="s">
        <v>75</v>
      </c>
      <c r="B30" s="516">
        <v>550</v>
      </c>
      <c r="C30" s="543"/>
      <c r="D30" s="519">
        <f>ROUND(B30*0.8,0)</f>
        <v>440</v>
      </c>
      <c r="E30" s="543"/>
      <c r="F30" s="516">
        <v>350</v>
      </c>
      <c r="G30" s="543"/>
      <c r="H30" s="519">
        <f>ROUND(F30*0.8,0)</f>
        <v>280</v>
      </c>
      <c r="I30" s="543"/>
    </row>
    <row r="31" spans="1:9" x14ac:dyDescent="0.25">
      <c r="A31" s="34" t="s">
        <v>76</v>
      </c>
      <c r="B31" s="516">
        <v>420</v>
      </c>
      <c r="C31" s="543"/>
      <c r="D31" s="519">
        <f>ROUND(B31*0.8,0)</f>
        <v>336</v>
      </c>
      <c r="E31" s="543"/>
      <c r="F31" s="516">
        <v>270</v>
      </c>
      <c r="G31" s="543"/>
      <c r="H31" s="519">
        <f>ROUND(F31*0.8,0)</f>
        <v>216</v>
      </c>
      <c r="I31" s="543"/>
    </row>
    <row r="32" spans="1:9" ht="15.75" thickBot="1" x14ac:dyDescent="0.3">
      <c r="A32" s="35" t="s">
        <v>78</v>
      </c>
      <c r="B32" s="518">
        <v>440</v>
      </c>
      <c r="C32" s="545"/>
      <c r="D32" s="520">
        <f>ROUND(B32*0.8,0)</f>
        <v>352</v>
      </c>
      <c r="E32" s="545"/>
      <c r="F32" s="518">
        <v>290</v>
      </c>
      <c r="G32" s="545"/>
      <c r="H32" s="520">
        <f>ROUND(F32*0.8,0)</f>
        <v>232</v>
      </c>
      <c r="I32" s="545"/>
    </row>
    <row r="33" spans="1:9" ht="15.75" thickBot="1" x14ac:dyDescent="0.3"/>
    <row r="34" spans="1:9" ht="15.75" thickBot="1" x14ac:dyDescent="0.3">
      <c r="B34" s="851" t="s">
        <v>57</v>
      </c>
      <c r="C34" s="852"/>
      <c r="D34" s="852"/>
      <c r="E34" s="853"/>
      <c r="F34" s="852" t="s">
        <v>71</v>
      </c>
      <c r="G34" s="852"/>
      <c r="H34" s="852"/>
      <c r="I34" s="853"/>
    </row>
    <row r="35" spans="1:9" x14ac:dyDescent="0.25">
      <c r="A35" s="855" t="s">
        <v>69</v>
      </c>
      <c r="B35" s="836" t="s">
        <v>70</v>
      </c>
      <c r="C35" s="837"/>
      <c r="D35" s="838" t="s">
        <v>72</v>
      </c>
      <c r="E35" s="839"/>
      <c r="F35" s="836" t="s">
        <v>70</v>
      </c>
      <c r="G35" s="837"/>
      <c r="H35" s="838" t="s">
        <v>72</v>
      </c>
      <c r="I35" s="839"/>
    </row>
    <row r="36" spans="1:9" x14ac:dyDescent="0.25">
      <c r="A36" s="856"/>
      <c r="B36" s="29" t="s">
        <v>161</v>
      </c>
      <c r="C36" s="30" t="s">
        <v>85</v>
      </c>
      <c r="D36" s="28" t="s">
        <v>161</v>
      </c>
      <c r="E36" s="30" t="s">
        <v>85</v>
      </c>
      <c r="F36" s="29" t="s">
        <v>161</v>
      </c>
      <c r="G36" s="30" t="s">
        <v>85</v>
      </c>
      <c r="H36" s="28" t="s">
        <v>161</v>
      </c>
      <c r="I36" s="30" t="s">
        <v>85</v>
      </c>
    </row>
    <row r="37" spans="1:9" x14ac:dyDescent="0.25">
      <c r="A37" s="36" t="s">
        <v>58</v>
      </c>
      <c r="B37" s="521">
        <v>500</v>
      </c>
      <c r="C37" s="543"/>
      <c r="D37" s="519">
        <f>ROUND(B37*0.8,0)</f>
        <v>400</v>
      </c>
      <c r="E37" s="543"/>
      <c r="F37" s="521">
        <v>300</v>
      </c>
      <c r="G37" s="543"/>
      <c r="H37" s="519">
        <f>ROUND(F37*0.8,0)</f>
        <v>240</v>
      </c>
      <c r="I37" s="543"/>
    </row>
    <row r="38" spans="1:9" x14ac:dyDescent="0.25">
      <c r="A38" s="36" t="s">
        <v>59</v>
      </c>
      <c r="B38" s="521">
        <v>400</v>
      </c>
      <c r="C38" s="543"/>
      <c r="D38" s="519">
        <f>ROUND(B38*0.8,0)</f>
        <v>320</v>
      </c>
      <c r="E38" s="543"/>
      <c r="F38" s="521">
        <v>250</v>
      </c>
      <c r="G38" s="543"/>
      <c r="H38" s="519">
        <f>ROUND(F38*0.8,0)</f>
        <v>200</v>
      </c>
      <c r="I38" s="543"/>
    </row>
    <row r="39" spans="1:9" x14ac:dyDescent="0.25">
      <c r="A39" s="36" t="s">
        <v>60</v>
      </c>
      <c r="B39" s="521">
        <v>400</v>
      </c>
      <c r="C39" s="543">
        <v>1</v>
      </c>
      <c r="D39" s="519">
        <f>ROUND(B39*0.8,0)</f>
        <v>320</v>
      </c>
      <c r="E39" s="543"/>
      <c r="F39" s="521">
        <v>250</v>
      </c>
      <c r="G39" s="543"/>
      <c r="H39" s="519">
        <f>ROUND(F39*0.8,0)</f>
        <v>200</v>
      </c>
      <c r="I39" s="543"/>
    </row>
    <row r="40" spans="1:9" ht="15.75" thickBot="1" x14ac:dyDescent="0.3">
      <c r="A40" s="37" t="s">
        <v>61</v>
      </c>
      <c r="B40" s="522">
        <v>620</v>
      </c>
      <c r="C40" s="545"/>
      <c r="D40" s="520">
        <f>ROUND(B40*0.8,0)</f>
        <v>496</v>
      </c>
      <c r="E40" s="545"/>
      <c r="F40" s="522">
        <v>370</v>
      </c>
      <c r="G40" s="545"/>
      <c r="H40" s="520">
        <f>ROUND(F40*0.8,0)</f>
        <v>296</v>
      </c>
      <c r="I40" s="545"/>
    </row>
    <row r="41" spans="1:9" ht="15.75" thickBot="1" x14ac:dyDescent="0.3"/>
    <row r="42" spans="1:9" ht="15.75" thickBot="1" x14ac:dyDescent="0.3">
      <c r="B42" s="842" t="s">
        <v>57</v>
      </c>
      <c r="C42" s="843"/>
      <c r="D42" s="843"/>
      <c r="E42" s="844"/>
      <c r="F42" s="845" t="s">
        <v>71</v>
      </c>
      <c r="G42" s="843"/>
      <c r="H42" s="843"/>
      <c r="I42" s="846"/>
    </row>
    <row r="43" spans="1:9" x14ac:dyDescent="0.25">
      <c r="A43" s="855" t="s">
        <v>73</v>
      </c>
      <c r="B43" s="836" t="s">
        <v>70</v>
      </c>
      <c r="C43" s="837"/>
      <c r="D43" s="838" t="s">
        <v>72</v>
      </c>
      <c r="E43" s="839"/>
      <c r="F43" s="836" t="s">
        <v>70</v>
      </c>
      <c r="G43" s="837"/>
      <c r="H43" s="838" t="s">
        <v>72</v>
      </c>
      <c r="I43" s="839"/>
    </row>
    <row r="44" spans="1:9" x14ac:dyDescent="0.25">
      <c r="A44" s="856"/>
      <c r="B44" s="29" t="s">
        <v>161</v>
      </c>
      <c r="C44" s="30" t="s">
        <v>85</v>
      </c>
      <c r="D44" s="28" t="s">
        <v>161</v>
      </c>
      <c r="E44" s="30" t="s">
        <v>85</v>
      </c>
      <c r="F44" s="29" t="s">
        <v>161</v>
      </c>
      <c r="G44" s="30" t="s">
        <v>85</v>
      </c>
      <c r="H44" s="28" t="s">
        <v>161</v>
      </c>
      <c r="I44" s="30" t="s">
        <v>85</v>
      </c>
    </row>
    <row r="45" spans="1:9" x14ac:dyDescent="0.25">
      <c r="A45" s="36" t="s">
        <v>660</v>
      </c>
      <c r="B45" s="521">
        <v>370</v>
      </c>
      <c r="C45" s="543"/>
      <c r="D45" s="519">
        <f>ROUND(B45*0.7,0)</f>
        <v>259</v>
      </c>
      <c r="E45" s="543"/>
      <c r="F45" s="521">
        <v>247</v>
      </c>
      <c r="G45" s="543"/>
      <c r="H45" s="519">
        <f>ROUND(F45*0.7,0)</f>
        <v>173</v>
      </c>
      <c r="I45" s="543"/>
    </row>
    <row r="46" spans="1:9" x14ac:dyDescent="0.25">
      <c r="A46" s="36" t="s">
        <v>661</v>
      </c>
      <c r="B46" s="521">
        <v>700</v>
      </c>
      <c r="C46" s="543"/>
      <c r="D46" s="519">
        <f t="shared" ref="D46:D55" si="3">ROUND(B46*0.7,0)</f>
        <v>490</v>
      </c>
      <c r="E46" s="543"/>
      <c r="F46" s="521">
        <v>467</v>
      </c>
      <c r="G46" s="543"/>
      <c r="H46" s="519">
        <f t="shared" ref="H46:H55" si="4">ROUND(F46*0.7,0)</f>
        <v>327</v>
      </c>
      <c r="I46" s="543"/>
    </row>
    <row r="47" spans="1:9" x14ac:dyDescent="0.25">
      <c r="A47" s="36" t="s">
        <v>662</v>
      </c>
      <c r="B47" s="521">
        <v>1100</v>
      </c>
      <c r="C47" s="543"/>
      <c r="D47" s="519">
        <f t="shared" si="3"/>
        <v>770</v>
      </c>
      <c r="E47" s="543"/>
      <c r="F47" s="521">
        <v>733</v>
      </c>
      <c r="G47" s="543"/>
      <c r="H47" s="519">
        <f t="shared" si="4"/>
        <v>513</v>
      </c>
      <c r="I47" s="543"/>
    </row>
    <row r="48" spans="1:9" x14ac:dyDescent="0.25">
      <c r="A48" s="36" t="s">
        <v>663</v>
      </c>
      <c r="B48" s="521">
        <v>1700</v>
      </c>
      <c r="C48" s="543"/>
      <c r="D48" s="519">
        <f t="shared" si="3"/>
        <v>1190</v>
      </c>
      <c r="E48" s="543"/>
      <c r="F48" s="521">
        <v>1133</v>
      </c>
      <c r="G48" s="543"/>
      <c r="H48" s="519">
        <f t="shared" si="4"/>
        <v>793</v>
      </c>
      <c r="I48" s="543"/>
    </row>
    <row r="49" spans="1:9" x14ac:dyDescent="0.25">
      <c r="A49" s="36" t="s">
        <v>63</v>
      </c>
      <c r="B49" s="521">
        <v>600</v>
      </c>
      <c r="C49" s="543"/>
      <c r="D49" s="519">
        <f t="shared" si="3"/>
        <v>420</v>
      </c>
      <c r="E49" s="543"/>
      <c r="F49" s="521">
        <v>400</v>
      </c>
      <c r="G49" s="543"/>
      <c r="H49" s="519">
        <f t="shared" si="4"/>
        <v>280</v>
      </c>
      <c r="I49" s="543"/>
    </row>
    <row r="50" spans="1:9" x14ac:dyDescent="0.25">
      <c r="A50" s="36" t="s">
        <v>64</v>
      </c>
      <c r="B50" s="521">
        <v>800</v>
      </c>
      <c r="C50" s="543"/>
      <c r="D50" s="519">
        <f t="shared" si="3"/>
        <v>560</v>
      </c>
      <c r="E50" s="543"/>
      <c r="F50" s="521">
        <v>533</v>
      </c>
      <c r="G50" s="543"/>
      <c r="H50" s="519">
        <f t="shared" si="4"/>
        <v>373</v>
      </c>
      <c r="I50" s="543"/>
    </row>
    <row r="51" spans="1:9" x14ac:dyDescent="0.25">
      <c r="A51" s="36" t="s">
        <v>65</v>
      </c>
      <c r="B51" s="521">
        <v>1200</v>
      </c>
      <c r="C51" s="543"/>
      <c r="D51" s="519">
        <f t="shared" si="3"/>
        <v>840</v>
      </c>
      <c r="E51" s="543"/>
      <c r="F51" s="521">
        <v>800</v>
      </c>
      <c r="G51" s="543"/>
      <c r="H51" s="519">
        <f t="shared" si="4"/>
        <v>560</v>
      </c>
      <c r="I51" s="543"/>
    </row>
    <row r="52" spans="1:9" x14ac:dyDescent="0.25">
      <c r="A52" s="222" t="s">
        <v>66</v>
      </c>
      <c r="B52" s="223"/>
      <c r="C52" s="224"/>
      <c r="D52" s="225">
        <f t="shared" si="3"/>
        <v>0</v>
      </c>
      <c r="E52" s="224"/>
      <c r="F52" s="223"/>
      <c r="G52" s="224"/>
      <c r="H52" s="225">
        <f t="shared" si="4"/>
        <v>0</v>
      </c>
      <c r="I52" s="224"/>
    </row>
    <row r="53" spans="1:9" x14ac:dyDescent="0.25">
      <c r="A53" s="36" t="s">
        <v>67</v>
      </c>
      <c r="B53" s="547"/>
      <c r="C53" s="548"/>
      <c r="D53" s="549"/>
      <c r="E53" s="548"/>
      <c r="F53" s="521">
        <v>625</v>
      </c>
      <c r="G53" s="543"/>
      <c r="H53" s="519">
        <f>ROUND(F53*1,0)</f>
        <v>625</v>
      </c>
      <c r="I53" s="543"/>
    </row>
    <row r="54" spans="1:9" x14ac:dyDescent="0.25">
      <c r="A54" s="36" t="s">
        <v>659</v>
      </c>
      <c r="B54" s="521">
        <v>2400</v>
      </c>
      <c r="C54" s="543"/>
      <c r="D54" s="519">
        <f t="shared" si="3"/>
        <v>1680</v>
      </c>
      <c r="E54" s="543"/>
      <c r="F54" s="521">
        <v>1600</v>
      </c>
      <c r="G54" s="543"/>
      <c r="H54" s="519">
        <f t="shared" si="4"/>
        <v>1120</v>
      </c>
      <c r="I54" s="543"/>
    </row>
    <row r="55" spans="1:9" ht="15.75" thickBot="1" x14ac:dyDescent="0.3">
      <c r="A55" s="37" t="s">
        <v>488</v>
      </c>
      <c r="B55" s="522">
        <v>350</v>
      </c>
      <c r="C55" s="545"/>
      <c r="D55" s="520">
        <f t="shared" si="3"/>
        <v>245</v>
      </c>
      <c r="E55" s="545"/>
      <c r="F55" s="522">
        <v>233</v>
      </c>
      <c r="G55" s="545"/>
      <c r="H55" s="520">
        <f t="shared" si="4"/>
        <v>163</v>
      </c>
      <c r="I55" s="545"/>
    </row>
    <row r="56" spans="1:9" ht="15.75" thickBot="1" x14ac:dyDescent="0.3"/>
    <row r="57" spans="1:9" ht="14.45" customHeight="1" x14ac:dyDescent="0.25">
      <c r="A57" s="840" t="s">
        <v>74</v>
      </c>
      <c r="B57" s="847" t="s">
        <v>1</v>
      </c>
      <c r="C57" s="836" t="s">
        <v>70</v>
      </c>
      <c r="D57" s="837"/>
      <c r="E57" s="838" t="s">
        <v>72</v>
      </c>
      <c r="F57" s="839"/>
    </row>
    <row r="58" spans="1:9" ht="15.75" thickBot="1" x14ac:dyDescent="0.3">
      <c r="A58" s="841"/>
      <c r="B58" s="848"/>
      <c r="C58" s="40" t="s">
        <v>161</v>
      </c>
      <c r="D58" s="41" t="s">
        <v>85</v>
      </c>
      <c r="E58" s="42" t="s">
        <v>161</v>
      </c>
      <c r="F58" s="41" t="s">
        <v>85</v>
      </c>
    </row>
    <row r="59" spans="1:9" x14ac:dyDescent="0.25">
      <c r="A59" s="38" t="s">
        <v>489</v>
      </c>
      <c r="B59" s="39" t="s">
        <v>62</v>
      </c>
      <c r="C59" s="523">
        <v>500</v>
      </c>
      <c r="D59" s="550"/>
      <c r="E59" s="265">
        <f>ROUND(C59*0.7,0)</f>
        <v>350</v>
      </c>
      <c r="F59" s="550"/>
    </row>
    <row r="60" spans="1:9" x14ac:dyDescent="0.25">
      <c r="A60" s="31" t="s">
        <v>666</v>
      </c>
      <c r="B60" s="562" t="s">
        <v>667</v>
      </c>
      <c r="C60" s="563"/>
      <c r="D60" s="563"/>
      <c r="E60" s="563"/>
      <c r="F60" s="564"/>
    </row>
    <row r="61" spans="1:9" x14ac:dyDescent="0.25">
      <c r="A61" s="31" t="s">
        <v>490</v>
      </c>
      <c r="B61" s="32" t="s">
        <v>495</v>
      </c>
      <c r="C61" s="516">
        <v>90</v>
      </c>
      <c r="D61" s="543"/>
      <c r="E61" s="265">
        <f>ROUND(C61*0.7,0)</f>
        <v>63</v>
      </c>
      <c r="F61" s="543"/>
    </row>
    <row r="62" spans="1:9" x14ac:dyDescent="0.25">
      <c r="A62" s="31" t="s">
        <v>668</v>
      </c>
      <c r="B62" s="562" t="s">
        <v>667</v>
      </c>
      <c r="C62" s="563"/>
      <c r="D62" s="563"/>
      <c r="E62" s="563"/>
      <c r="F62" s="564"/>
    </row>
    <row r="63" spans="1:9" x14ac:dyDescent="0.25">
      <c r="A63" s="31" t="s">
        <v>491</v>
      </c>
      <c r="B63" s="32" t="s">
        <v>495</v>
      </c>
      <c r="C63" s="516">
        <v>100</v>
      </c>
      <c r="D63" s="543"/>
      <c r="E63" s="265">
        <f t="shared" ref="E63:E74" si="5">ROUND(C63*0.7,0)</f>
        <v>70</v>
      </c>
      <c r="F63" s="543"/>
    </row>
    <row r="64" spans="1:9" x14ac:dyDescent="0.25">
      <c r="A64" s="31" t="s">
        <v>665</v>
      </c>
      <c r="B64" s="226" t="s">
        <v>50</v>
      </c>
      <c r="C64" s="516">
        <v>120</v>
      </c>
      <c r="D64" s="543"/>
      <c r="E64" s="265">
        <f t="shared" si="5"/>
        <v>84</v>
      </c>
      <c r="F64" s="543"/>
    </row>
    <row r="65" spans="1:6" x14ac:dyDescent="0.25">
      <c r="A65" s="31" t="s">
        <v>664</v>
      </c>
      <c r="B65" s="32" t="s">
        <v>62</v>
      </c>
      <c r="C65" s="516">
        <v>500</v>
      </c>
      <c r="D65" s="543"/>
      <c r="E65" s="265">
        <f t="shared" si="5"/>
        <v>350</v>
      </c>
      <c r="F65" s="543"/>
    </row>
    <row r="66" spans="1:6" x14ac:dyDescent="0.25">
      <c r="A66" s="31" t="s">
        <v>492</v>
      </c>
      <c r="B66" s="32" t="s">
        <v>62</v>
      </c>
      <c r="C66" s="516">
        <v>800</v>
      </c>
      <c r="D66" s="543"/>
      <c r="E66" s="265">
        <f t="shared" si="5"/>
        <v>560</v>
      </c>
      <c r="F66" s="543"/>
    </row>
    <row r="67" spans="1:6" x14ac:dyDescent="0.25">
      <c r="A67" s="31" t="s">
        <v>493</v>
      </c>
      <c r="B67" s="32" t="s">
        <v>50</v>
      </c>
      <c r="C67" s="516">
        <v>120</v>
      </c>
      <c r="D67" s="543"/>
      <c r="E67" s="265">
        <f t="shared" si="5"/>
        <v>84</v>
      </c>
      <c r="F67" s="543"/>
    </row>
    <row r="68" spans="1:6" x14ac:dyDescent="0.25">
      <c r="A68" s="31" t="s">
        <v>494</v>
      </c>
      <c r="B68" s="32" t="s">
        <v>62</v>
      </c>
      <c r="C68" s="516">
        <v>200</v>
      </c>
      <c r="D68" s="543"/>
      <c r="E68" s="265">
        <f t="shared" si="5"/>
        <v>140</v>
      </c>
      <c r="F68" s="543"/>
    </row>
    <row r="69" spans="1:6" x14ac:dyDescent="0.25">
      <c r="A69" s="31" t="s">
        <v>494</v>
      </c>
      <c r="B69" s="32" t="s">
        <v>50</v>
      </c>
      <c r="C69" s="516">
        <v>300</v>
      </c>
      <c r="D69" s="543"/>
      <c r="E69" s="265">
        <f t="shared" si="5"/>
        <v>210</v>
      </c>
      <c r="F69" s="543"/>
    </row>
    <row r="70" spans="1:6" x14ac:dyDescent="0.25">
      <c r="A70" s="31" t="s">
        <v>669</v>
      </c>
      <c r="B70" s="32" t="s">
        <v>68</v>
      </c>
      <c r="C70" s="516">
        <v>100</v>
      </c>
      <c r="D70" s="543"/>
      <c r="E70" s="265">
        <f t="shared" si="5"/>
        <v>70</v>
      </c>
      <c r="F70" s="543"/>
    </row>
    <row r="71" spans="1:6" x14ac:dyDescent="0.25">
      <c r="A71" s="31" t="s">
        <v>670</v>
      </c>
      <c r="B71" s="32" t="s">
        <v>68</v>
      </c>
      <c r="C71" s="516">
        <v>150</v>
      </c>
      <c r="D71" s="544"/>
      <c r="E71" s="265">
        <f t="shared" si="5"/>
        <v>105</v>
      </c>
      <c r="F71" s="544"/>
    </row>
    <row r="72" spans="1:6" ht="30" x14ac:dyDescent="0.25">
      <c r="A72" s="561" t="s">
        <v>672</v>
      </c>
      <c r="B72" s="562" t="s">
        <v>667</v>
      </c>
      <c r="C72" s="563"/>
      <c r="D72" s="563"/>
      <c r="E72" s="563"/>
      <c r="F72" s="564"/>
    </row>
    <row r="73" spans="1:6" x14ac:dyDescent="0.25">
      <c r="A73" s="59" t="s">
        <v>671</v>
      </c>
      <c r="B73" s="226" t="s">
        <v>62</v>
      </c>
      <c r="C73" s="517">
        <v>300</v>
      </c>
      <c r="D73" s="544"/>
      <c r="E73" s="265">
        <f t="shared" si="5"/>
        <v>210</v>
      </c>
      <c r="F73" s="544"/>
    </row>
    <row r="74" spans="1:6" x14ac:dyDescent="0.25">
      <c r="A74" s="59" t="s">
        <v>671</v>
      </c>
      <c r="B74" s="226" t="s">
        <v>50</v>
      </c>
      <c r="C74" s="517">
        <v>450</v>
      </c>
      <c r="D74" s="544"/>
      <c r="E74" s="265">
        <f t="shared" si="5"/>
        <v>315</v>
      </c>
      <c r="F74" s="544"/>
    </row>
    <row r="75" spans="1:6" x14ac:dyDescent="0.25">
      <c r="A75" s="59" t="s">
        <v>673</v>
      </c>
      <c r="B75" s="562" t="s">
        <v>667</v>
      </c>
      <c r="C75" s="563"/>
      <c r="D75" s="563"/>
      <c r="E75" s="563"/>
      <c r="F75" s="564"/>
    </row>
    <row r="76" spans="1:6" ht="15.75" thickBot="1" x14ac:dyDescent="0.3">
      <c r="A76" s="33" t="s">
        <v>674</v>
      </c>
      <c r="B76" s="565" t="s">
        <v>667</v>
      </c>
      <c r="C76" s="566"/>
      <c r="D76" s="566"/>
      <c r="E76" s="566"/>
      <c r="F76" s="567"/>
    </row>
    <row r="78" spans="1:6" x14ac:dyDescent="0.25">
      <c r="A78" s="65" t="s">
        <v>501</v>
      </c>
    </row>
    <row r="79" spans="1:6" x14ac:dyDescent="0.25">
      <c r="A79" s="607" t="s">
        <v>687</v>
      </c>
    </row>
    <row r="80" spans="1:6" x14ac:dyDescent="0.25">
      <c r="A80" s="607" t="s">
        <v>688</v>
      </c>
    </row>
  </sheetData>
  <sheetProtection sheet="1" scenarios="1"/>
  <mergeCells count="34">
    <mergeCell ref="A10:C10"/>
    <mergeCell ref="A13:C13"/>
    <mergeCell ref="B16:C16"/>
    <mergeCell ref="D16:E16"/>
    <mergeCell ref="B43:C43"/>
    <mergeCell ref="D43:E43"/>
    <mergeCell ref="A16:A17"/>
    <mergeCell ref="A35:A36"/>
    <mergeCell ref="A43:A44"/>
    <mergeCell ref="A27:A28"/>
    <mergeCell ref="F16:G16"/>
    <mergeCell ref="H16:I16"/>
    <mergeCell ref="F15:I15"/>
    <mergeCell ref="B15:E15"/>
    <mergeCell ref="B34:E34"/>
    <mergeCell ref="F34:I34"/>
    <mergeCell ref="B27:C27"/>
    <mergeCell ref="D27:E27"/>
    <mergeCell ref="F27:G27"/>
    <mergeCell ref="H27:I27"/>
    <mergeCell ref="B26:E26"/>
    <mergeCell ref="F26:I26"/>
    <mergeCell ref="F43:G43"/>
    <mergeCell ref="H43:I43"/>
    <mergeCell ref="A57:A58"/>
    <mergeCell ref="B35:C35"/>
    <mergeCell ref="D35:E35"/>
    <mergeCell ref="F35:G35"/>
    <mergeCell ref="H35:I35"/>
    <mergeCell ref="C57:D57"/>
    <mergeCell ref="E57:F57"/>
    <mergeCell ref="B42:E42"/>
    <mergeCell ref="F42:I42"/>
    <mergeCell ref="B57:B58"/>
  </mergeCells>
  <hyperlinks>
    <hyperlink ref="A79" r:id="rId1" xr:uid="{00000000-0004-0000-0600-000000000000}"/>
    <hyperlink ref="A80" r:id="rId2" xr:uid="{00000000-0004-0000-0600-000001000000}"/>
  </hyperlinks>
  <pageMargins left="0.7" right="0.7" top="0.75" bottom="0.75" header="0.3" footer="0.3"/>
  <pageSetup paperSize="9" scale="47" orientation="portrait" r:id="rId3"/>
  <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pageSetUpPr fitToPage="1"/>
  </sheetPr>
  <dimension ref="A1:F21"/>
  <sheetViews>
    <sheetView showGridLines="0" workbookViewId="0">
      <selection activeCell="D15" sqref="D15"/>
    </sheetView>
  </sheetViews>
  <sheetFormatPr baseColWidth="10" defaultRowHeight="15" x14ac:dyDescent="0.25"/>
  <cols>
    <col min="1" max="1" width="55.5703125" customWidth="1"/>
    <col min="3" max="3" width="27.85546875" customWidth="1"/>
    <col min="4" max="4" width="16.7109375" bestFit="1" customWidth="1"/>
  </cols>
  <sheetData>
    <row r="1" spans="1:5" ht="18.75" x14ac:dyDescent="0.3">
      <c r="A1" s="25" t="s">
        <v>255</v>
      </c>
    </row>
    <row r="2" spans="1:5" ht="15.75" thickBot="1" x14ac:dyDescent="0.3"/>
    <row r="3" spans="1:5" ht="45" x14ac:dyDescent="0.25">
      <c r="A3" s="61" t="s">
        <v>259</v>
      </c>
      <c r="B3" s="62" t="s">
        <v>258</v>
      </c>
      <c r="C3" s="62" t="s">
        <v>346</v>
      </c>
      <c r="D3" s="62" t="s">
        <v>93</v>
      </c>
      <c r="E3" s="63" t="s">
        <v>86</v>
      </c>
    </row>
    <row r="4" spans="1:5" x14ac:dyDescent="0.25">
      <c r="A4" s="64" t="s">
        <v>589</v>
      </c>
      <c r="B4" s="610">
        <v>24</v>
      </c>
      <c r="C4" s="465"/>
      <c r="D4" s="497">
        <f>'Fiche de coûts'!C17+2</f>
        <v>8</v>
      </c>
      <c r="E4" s="491">
        <f t="shared" ref="E4:E9" si="0">B4*D4*C4</f>
        <v>0</v>
      </c>
    </row>
    <row r="5" spans="1:5" x14ac:dyDescent="0.25">
      <c r="A5" s="64" t="s">
        <v>91</v>
      </c>
      <c r="B5" s="610">
        <v>12.28</v>
      </c>
      <c r="C5" s="465">
        <v>3</v>
      </c>
      <c r="D5" s="497">
        <f>'Fiche de coûts'!C17+2</f>
        <v>8</v>
      </c>
      <c r="E5" s="491">
        <f t="shared" si="0"/>
        <v>294.71999999999997</v>
      </c>
    </row>
    <row r="6" spans="1:5" x14ac:dyDescent="0.25">
      <c r="A6" s="64" t="s">
        <v>704</v>
      </c>
      <c r="B6" s="610">
        <v>2.38</v>
      </c>
      <c r="C6" s="465">
        <v>3</v>
      </c>
      <c r="D6" s="497">
        <f>'Fiche de coûts'!C17</f>
        <v>6</v>
      </c>
      <c r="E6" s="491">
        <f t="shared" si="0"/>
        <v>42.839999999999996</v>
      </c>
    </row>
    <row r="7" spans="1:5" x14ac:dyDescent="0.25">
      <c r="A7" s="64" t="s">
        <v>705</v>
      </c>
      <c r="B7" s="610">
        <v>1.5</v>
      </c>
      <c r="C7" s="465"/>
      <c r="D7" s="497">
        <f>'Fiche de coûts'!C17</f>
        <v>6</v>
      </c>
      <c r="E7" s="491">
        <f t="shared" si="0"/>
        <v>0</v>
      </c>
    </row>
    <row r="8" spans="1:5" x14ac:dyDescent="0.25">
      <c r="A8" s="630" t="s">
        <v>700</v>
      </c>
      <c r="B8" s="613"/>
      <c r="C8" s="541"/>
      <c r="D8" s="497">
        <f>'Fiche de coûts'!C17</f>
        <v>6</v>
      </c>
      <c r="E8" s="491">
        <f t="shared" si="0"/>
        <v>0</v>
      </c>
    </row>
    <row r="9" spans="1:5" x14ac:dyDescent="0.25">
      <c r="A9" s="630" t="s">
        <v>700</v>
      </c>
      <c r="B9" s="613"/>
      <c r="C9" s="541"/>
      <c r="D9" s="497">
        <f>'Fiche de coûts'!C17</f>
        <v>6</v>
      </c>
      <c r="E9" s="491">
        <f t="shared" si="0"/>
        <v>0</v>
      </c>
    </row>
    <row r="10" spans="1:5" ht="16.5" thickBot="1" x14ac:dyDescent="0.3">
      <c r="A10" s="859" t="s">
        <v>92</v>
      </c>
      <c r="B10" s="860"/>
      <c r="C10" s="860"/>
      <c r="D10" s="860"/>
      <c r="E10" s="492">
        <f>SUM(E4:E9)</f>
        <v>337.55999999999995</v>
      </c>
    </row>
    <row r="11" spans="1:5" ht="14.45" customHeight="1" thickBot="1" x14ac:dyDescent="0.3">
      <c r="A11" s="861" t="s">
        <v>352</v>
      </c>
      <c r="B11" s="862"/>
      <c r="C11" s="862"/>
      <c r="D11" s="862"/>
      <c r="E11" s="863"/>
    </row>
    <row r="12" spans="1:5" ht="15.75" thickBot="1" x14ac:dyDescent="0.3"/>
    <row r="13" spans="1:5" ht="60" x14ac:dyDescent="0.25">
      <c r="A13" s="61" t="s">
        <v>260</v>
      </c>
      <c r="B13" s="62" t="s">
        <v>258</v>
      </c>
      <c r="C13" s="62" t="s">
        <v>347</v>
      </c>
      <c r="D13" s="62" t="s">
        <v>93</v>
      </c>
      <c r="E13" s="63" t="s">
        <v>98</v>
      </c>
    </row>
    <row r="14" spans="1:5" ht="30" x14ac:dyDescent="0.25">
      <c r="A14" s="64" t="s">
        <v>153</v>
      </c>
      <c r="B14" s="613">
        <v>15</v>
      </c>
      <c r="C14" s="531"/>
      <c r="D14" s="493">
        <f>'Fiche de coûts'!C17</f>
        <v>6</v>
      </c>
      <c r="E14" s="494">
        <f t="shared" ref="E14:E21" si="1">B14*D14*C14</f>
        <v>0</v>
      </c>
    </row>
    <row r="15" spans="1:5" x14ac:dyDescent="0.25">
      <c r="A15" s="64" t="s">
        <v>97</v>
      </c>
      <c r="B15" s="58">
        <v>25</v>
      </c>
      <c r="C15" s="531">
        <v>1.25</v>
      </c>
      <c r="D15" s="493">
        <f>'Fiche de coûts'!C17</f>
        <v>6</v>
      </c>
      <c r="E15" s="494">
        <f t="shared" si="1"/>
        <v>187.5</v>
      </c>
    </row>
    <row r="16" spans="1:5" x14ac:dyDescent="0.25">
      <c r="A16" s="64" t="s">
        <v>96</v>
      </c>
      <c r="B16" s="58">
        <v>5</v>
      </c>
      <c r="C16" s="531"/>
      <c r="D16" s="493">
        <f>'Fiche de coûts'!C17</f>
        <v>6</v>
      </c>
      <c r="E16" s="494">
        <f t="shared" si="1"/>
        <v>0</v>
      </c>
    </row>
    <row r="17" spans="1:6" x14ac:dyDescent="0.25">
      <c r="A17" s="112" t="s">
        <v>348</v>
      </c>
      <c r="B17" s="534"/>
      <c r="C17" s="532"/>
      <c r="D17" s="493">
        <f>'Fiche de coûts'!C17</f>
        <v>6</v>
      </c>
      <c r="E17" s="494">
        <f t="shared" si="1"/>
        <v>0</v>
      </c>
    </row>
    <row r="18" spans="1:6" x14ac:dyDescent="0.25">
      <c r="A18" s="605" t="s">
        <v>712</v>
      </c>
      <c r="B18" s="643">
        <v>200</v>
      </c>
      <c r="C18" s="644">
        <v>1</v>
      </c>
      <c r="D18" s="493">
        <f>'Fiche de coûts'!C17</f>
        <v>6</v>
      </c>
      <c r="E18" s="494">
        <f t="shared" si="1"/>
        <v>1200</v>
      </c>
      <c r="F18" s="177"/>
    </row>
    <row r="19" spans="1:6" x14ac:dyDescent="0.25">
      <c r="A19" s="605" t="s">
        <v>146</v>
      </c>
      <c r="B19" s="534"/>
      <c r="C19" s="532"/>
      <c r="D19" s="493">
        <f>'Fiche de coûts'!C17</f>
        <v>6</v>
      </c>
      <c r="E19" s="494">
        <f t="shared" si="1"/>
        <v>0</v>
      </c>
      <c r="F19" s="177"/>
    </row>
    <row r="20" spans="1:6" x14ac:dyDescent="0.25">
      <c r="A20" s="605" t="s">
        <v>146</v>
      </c>
      <c r="B20" s="534"/>
      <c r="C20" s="532"/>
      <c r="D20" s="493">
        <f>'Fiche de coûts'!C17</f>
        <v>6</v>
      </c>
      <c r="E20" s="494">
        <f t="shared" si="1"/>
        <v>0</v>
      </c>
      <c r="F20" s="177"/>
    </row>
    <row r="21" spans="1:6" ht="15.75" thickBot="1" x14ac:dyDescent="0.3">
      <c r="A21" s="606" t="s">
        <v>146</v>
      </c>
      <c r="B21" s="535"/>
      <c r="C21" s="533"/>
      <c r="D21" s="495">
        <f>'Fiche de coûts'!C17</f>
        <v>6</v>
      </c>
      <c r="E21" s="496">
        <f t="shared" si="1"/>
        <v>0</v>
      </c>
      <c r="F21" s="177"/>
    </row>
  </sheetData>
  <sheetProtection sheet="1" scenarios="1"/>
  <mergeCells count="2">
    <mergeCell ref="A10:D10"/>
    <mergeCell ref="A11:E11"/>
  </mergeCells>
  <pageMargins left="0.7" right="0.7" top="0.75" bottom="0.75" header="0.3" footer="0.3"/>
  <pageSetup paperSize="9"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J48"/>
  <sheetViews>
    <sheetView showGridLines="0" topLeftCell="A4" workbookViewId="0">
      <selection activeCell="J14" sqref="J14"/>
    </sheetView>
  </sheetViews>
  <sheetFormatPr baseColWidth="10" defaultRowHeight="15" x14ac:dyDescent="0.25"/>
  <cols>
    <col min="1" max="1" width="35.85546875" customWidth="1"/>
    <col min="2" max="2" width="10.7109375" customWidth="1"/>
    <col min="3" max="3" width="10" customWidth="1"/>
    <col min="8" max="8" width="12.85546875" customWidth="1"/>
    <col min="9" max="9" width="16.140625" customWidth="1"/>
  </cols>
  <sheetData>
    <row r="1" spans="1:9" ht="18.75" x14ac:dyDescent="0.3">
      <c r="A1" s="25" t="s">
        <v>256</v>
      </c>
    </row>
    <row r="2" spans="1:9" x14ac:dyDescent="0.25">
      <c r="A2" s="65" t="s">
        <v>110</v>
      </c>
      <c r="B2" s="65"/>
    </row>
    <row r="3" spans="1:9" x14ac:dyDescent="0.25">
      <c r="A3" s="65"/>
      <c r="B3" s="65"/>
    </row>
    <row r="4" spans="1:9" x14ac:dyDescent="0.25">
      <c r="A4" s="65"/>
      <c r="B4" s="65"/>
    </row>
    <row r="5" spans="1:9" x14ac:dyDescent="0.25">
      <c r="A5" s="65"/>
      <c r="B5" s="65"/>
    </row>
    <row r="6" spans="1:9" x14ac:dyDescent="0.25">
      <c r="A6" s="65"/>
      <c r="B6" s="65"/>
    </row>
    <row r="7" spans="1:9" x14ac:dyDescent="0.25">
      <c r="A7" s="65"/>
      <c r="B7" s="65"/>
    </row>
    <row r="8" spans="1:9" x14ac:dyDescent="0.25">
      <c r="A8" s="65"/>
      <c r="B8" s="65"/>
    </row>
    <row r="9" spans="1:9" x14ac:dyDescent="0.25">
      <c r="A9" s="65"/>
      <c r="B9" s="65"/>
    </row>
    <row r="10" spans="1:9" x14ac:dyDescent="0.25">
      <c r="A10" s="65"/>
      <c r="B10" s="65"/>
    </row>
    <row r="11" spans="1:9" x14ac:dyDescent="0.25">
      <c r="A11" s="65"/>
      <c r="B11" s="65"/>
    </row>
    <row r="12" spans="1:9" x14ac:dyDescent="0.25">
      <c r="A12" s="65"/>
      <c r="B12" s="65"/>
    </row>
    <row r="13" spans="1:9" x14ac:dyDescent="0.25">
      <c r="A13" s="65"/>
      <c r="B13" s="65"/>
    </row>
    <row r="14" spans="1:9" x14ac:dyDescent="0.25">
      <c r="A14" s="65"/>
      <c r="B14" s="65"/>
    </row>
    <row r="15" spans="1:9" ht="15.75" thickBot="1" x14ac:dyDescent="0.3"/>
    <row r="16" spans="1:9" ht="47.25" customHeight="1" thickBot="1" x14ac:dyDescent="0.3">
      <c r="C16" s="874" t="s">
        <v>112</v>
      </c>
      <c r="D16" s="875"/>
      <c r="E16" s="874" t="s">
        <v>111</v>
      </c>
      <c r="F16" s="876"/>
      <c r="G16" s="874" t="s">
        <v>141</v>
      </c>
      <c r="H16" s="876"/>
      <c r="I16" s="872" t="s">
        <v>690</v>
      </c>
    </row>
    <row r="17" spans="1:10" ht="15.75" thickBot="1" x14ac:dyDescent="0.3">
      <c r="A17" s="67" t="s">
        <v>113</v>
      </c>
      <c r="B17" s="68" t="s">
        <v>1</v>
      </c>
      <c r="C17" s="72" t="s">
        <v>257</v>
      </c>
      <c r="D17" s="73" t="s">
        <v>85</v>
      </c>
      <c r="E17" s="72" t="s">
        <v>257</v>
      </c>
      <c r="F17" s="73" t="s">
        <v>85</v>
      </c>
      <c r="G17" s="72" t="s">
        <v>257</v>
      </c>
      <c r="H17" s="73" t="s">
        <v>85</v>
      </c>
      <c r="I17" s="873"/>
    </row>
    <row r="18" spans="1:10" x14ac:dyDescent="0.25">
      <c r="A18" s="66" t="s">
        <v>103</v>
      </c>
      <c r="B18" s="66" t="s">
        <v>104</v>
      </c>
      <c r="C18" s="616"/>
      <c r="D18" s="536"/>
      <c r="E18" s="616"/>
      <c r="F18" s="536"/>
      <c r="G18" s="616"/>
      <c r="H18" s="536"/>
      <c r="I18" s="71">
        <f t="shared" ref="I18:I25" si="0">C18*D18+E18*F18+G18*H18</f>
        <v>0</v>
      </c>
      <c r="J18" s="588" t="s">
        <v>637</v>
      </c>
    </row>
    <row r="19" spans="1:10" x14ac:dyDescent="0.25">
      <c r="A19" s="66" t="s">
        <v>349</v>
      </c>
      <c r="B19" s="36" t="s">
        <v>108</v>
      </c>
      <c r="C19" s="539"/>
      <c r="D19" s="536"/>
      <c r="E19" s="539"/>
      <c r="F19" s="536"/>
      <c r="G19" s="539"/>
      <c r="H19" s="536"/>
      <c r="I19" s="69">
        <f t="shared" si="0"/>
        <v>0</v>
      </c>
    </row>
    <row r="20" spans="1:10" x14ac:dyDescent="0.25">
      <c r="A20" s="66" t="s">
        <v>350</v>
      </c>
      <c r="B20" s="36" t="s">
        <v>108</v>
      </c>
      <c r="C20" s="539"/>
      <c r="D20" s="536"/>
      <c r="E20" s="539"/>
      <c r="F20" s="536"/>
      <c r="G20" s="539"/>
      <c r="H20" s="536"/>
      <c r="I20" s="69">
        <f t="shared" si="0"/>
        <v>0</v>
      </c>
    </row>
    <row r="21" spans="1:10" x14ac:dyDescent="0.25">
      <c r="A21" s="66" t="s">
        <v>351</v>
      </c>
      <c r="B21" s="36" t="s">
        <v>108</v>
      </c>
      <c r="C21" s="539"/>
      <c r="D21" s="536"/>
      <c r="E21" s="539"/>
      <c r="F21" s="536"/>
      <c r="G21" s="539"/>
      <c r="H21" s="536"/>
      <c r="I21" s="69">
        <f t="shared" si="0"/>
        <v>0</v>
      </c>
    </row>
    <row r="22" spans="1:10" x14ac:dyDescent="0.25">
      <c r="A22" s="36" t="s">
        <v>105</v>
      </c>
      <c r="B22" s="36" t="s">
        <v>106</v>
      </c>
      <c r="C22" s="614">
        <v>130</v>
      </c>
      <c r="D22" s="615"/>
      <c r="E22" s="614">
        <v>110</v>
      </c>
      <c r="F22" s="537"/>
      <c r="G22" s="539"/>
      <c r="H22" s="537"/>
      <c r="I22" s="69">
        <f t="shared" si="0"/>
        <v>0</v>
      </c>
    </row>
    <row r="23" spans="1:10" x14ac:dyDescent="0.25">
      <c r="A23" s="36" t="s">
        <v>107</v>
      </c>
      <c r="B23" s="36" t="s">
        <v>108</v>
      </c>
      <c r="C23" s="614">
        <v>22</v>
      </c>
      <c r="D23" s="615"/>
      <c r="E23" s="614">
        <v>22</v>
      </c>
      <c r="F23" s="537"/>
      <c r="G23" s="539"/>
      <c r="H23" s="537"/>
      <c r="I23" s="69">
        <f t="shared" si="0"/>
        <v>0</v>
      </c>
    </row>
    <row r="24" spans="1:10" x14ac:dyDescent="0.25">
      <c r="A24" s="36" t="s">
        <v>109</v>
      </c>
      <c r="B24" s="36" t="s">
        <v>108</v>
      </c>
      <c r="C24" s="614">
        <v>20.2</v>
      </c>
      <c r="D24" s="615"/>
      <c r="E24" s="614">
        <v>20.2</v>
      </c>
      <c r="F24" s="537"/>
      <c r="G24" s="539"/>
      <c r="H24" s="537"/>
      <c r="I24" s="69">
        <f t="shared" si="0"/>
        <v>0</v>
      </c>
    </row>
    <row r="25" spans="1:10" ht="15.75" thickBot="1" x14ac:dyDescent="0.3">
      <c r="A25" s="631" t="s">
        <v>700</v>
      </c>
      <c r="B25" s="37" t="s">
        <v>108</v>
      </c>
      <c r="C25" s="612"/>
      <c r="D25" s="538"/>
      <c r="E25" s="612"/>
      <c r="F25" s="538"/>
      <c r="G25" s="612"/>
      <c r="H25" s="538"/>
      <c r="I25" s="70">
        <f t="shared" si="0"/>
        <v>0</v>
      </c>
    </row>
    <row r="26" spans="1:10" ht="16.5" thickBot="1" x14ac:dyDescent="0.3">
      <c r="I26" s="74">
        <f>SUM(I18:I25)</f>
        <v>0</v>
      </c>
    </row>
    <row r="27" spans="1:10" ht="15.75" x14ac:dyDescent="0.25">
      <c r="I27" s="375"/>
    </row>
    <row r="29" spans="1:10" x14ac:dyDescent="0.25">
      <c r="A29" s="65" t="s">
        <v>686</v>
      </c>
    </row>
    <row r="30" spans="1:10" x14ac:dyDescent="0.25">
      <c r="A30" s="266" t="s">
        <v>500</v>
      </c>
    </row>
    <row r="36" spans="1:9" ht="15.75" thickBot="1" x14ac:dyDescent="0.3"/>
    <row r="37" spans="1:9" ht="23.25" x14ac:dyDescent="0.35">
      <c r="B37" s="879" t="s">
        <v>573</v>
      </c>
      <c r="C37" s="880"/>
      <c r="D37" s="880"/>
      <c r="E37" s="880"/>
      <c r="F37" s="880"/>
      <c r="G37" s="880"/>
      <c r="H37" s="881"/>
      <c r="I37" s="591"/>
    </row>
    <row r="38" spans="1:9" x14ac:dyDescent="0.25">
      <c r="A38" s="467"/>
      <c r="B38" s="592"/>
      <c r="C38" s="467"/>
      <c r="D38" s="467"/>
      <c r="E38" s="467"/>
      <c r="F38" s="467"/>
      <c r="G38" s="467"/>
      <c r="H38" s="593"/>
      <c r="I38" s="467"/>
    </row>
    <row r="39" spans="1:9" x14ac:dyDescent="0.25">
      <c r="A39" s="467"/>
      <c r="B39" s="864" t="s">
        <v>562</v>
      </c>
      <c r="C39" s="865"/>
      <c r="D39" s="477"/>
      <c r="E39" s="468"/>
      <c r="F39" s="469"/>
      <c r="G39" s="469"/>
      <c r="H39" s="594"/>
      <c r="I39" s="467"/>
    </row>
    <row r="40" spans="1:9" x14ac:dyDescent="0.25">
      <c r="A40" s="467"/>
      <c r="B40" s="592"/>
      <c r="C40" s="467"/>
      <c r="D40" s="467"/>
      <c r="E40" s="467"/>
      <c r="F40" s="467"/>
      <c r="G40" s="467"/>
      <c r="H40" s="593"/>
      <c r="I40" s="467"/>
    </row>
    <row r="41" spans="1:9" x14ac:dyDescent="0.25">
      <c r="A41" s="467"/>
      <c r="B41" s="595"/>
      <c r="C41" s="470"/>
      <c r="D41" s="866" t="s">
        <v>563</v>
      </c>
      <c r="E41" s="866"/>
      <c r="F41" s="866"/>
      <c r="G41" s="866"/>
      <c r="H41" s="867"/>
      <c r="I41" s="467"/>
    </row>
    <row r="42" spans="1:9" ht="45" x14ac:dyDescent="0.25">
      <c r="A42" s="589"/>
      <c r="B42" s="868" t="s">
        <v>564</v>
      </c>
      <c r="C42" s="869"/>
      <c r="D42" s="471" t="s">
        <v>565</v>
      </c>
      <c r="E42" s="587" t="s">
        <v>566</v>
      </c>
      <c r="F42" s="471" t="s">
        <v>567</v>
      </c>
      <c r="G42" s="587" t="s">
        <v>568</v>
      </c>
      <c r="H42" s="596" t="s">
        <v>569</v>
      </c>
      <c r="I42" s="589"/>
    </row>
    <row r="43" spans="1:9" x14ac:dyDescent="0.25">
      <c r="A43" s="467"/>
      <c r="B43" s="877" t="s">
        <v>570</v>
      </c>
      <c r="C43" s="878"/>
      <c r="D43" s="473">
        <v>0.32</v>
      </c>
      <c r="E43" s="473">
        <v>0.35</v>
      </c>
      <c r="F43" s="473">
        <v>0.37</v>
      </c>
      <c r="G43" s="473">
        <v>0.08</v>
      </c>
      <c r="H43" s="597">
        <v>0.12</v>
      </c>
      <c r="I43" s="467"/>
    </row>
    <row r="44" spans="1:9" x14ac:dyDescent="0.25">
      <c r="A44" s="467"/>
      <c r="B44" s="598" t="s">
        <v>571</v>
      </c>
      <c r="C44" s="472"/>
      <c r="D44" s="473">
        <v>0.15</v>
      </c>
      <c r="E44" s="473">
        <v>0.17</v>
      </c>
      <c r="F44" s="473">
        <v>0.18</v>
      </c>
      <c r="G44" s="473">
        <v>0.08</v>
      </c>
      <c r="H44" s="597">
        <v>0.12</v>
      </c>
      <c r="I44" s="467"/>
    </row>
    <row r="45" spans="1:9" x14ac:dyDescent="0.25">
      <c r="A45" s="467"/>
      <c r="B45" s="595"/>
      <c r="C45" s="470"/>
      <c r="D45" s="470"/>
      <c r="E45" s="470"/>
      <c r="F45" s="470"/>
      <c r="G45" s="470"/>
      <c r="H45" s="599"/>
      <c r="I45" s="467"/>
    </row>
    <row r="46" spans="1:9" ht="45" x14ac:dyDescent="0.25">
      <c r="A46" s="467"/>
      <c r="B46" s="595"/>
      <c r="C46" s="470"/>
      <c r="D46" s="474" t="s">
        <v>565</v>
      </c>
      <c r="E46" s="475" t="s">
        <v>566</v>
      </c>
      <c r="F46" s="474" t="s">
        <v>567</v>
      </c>
      <c r="G46" s="587" t="s">
        <v>568</v>
      </c>
      <c r="H46" s="600" t="s">
        <v>569</v>
      </c>
      <c r="I46" s="467"/>
    </row>
    <row r="47" spans="1:9" x14ac:dyDescent="0.25">
      <c r="A47" s="590"/>
      <c r="B47" s="870" t="s">
        <v>572</v>
      </c>
      <c r="C47" s="871"/>
      <c r="D47" s="476">
        <f>IF(D39&lt;1000,(D39*D43),(D39*D44))</f>
        <v>0</v>
      </c>
      <c r="E47" s="476">
        <f>IF(D39&lt;1000,(D39*E43),(D39*E44))</f>
        <v>0</v>
      </c>
      <c r="F47" s="476">
        <f>IF(D39&lt;1000,(D39*F43),(D39*F44))</f>
        <v>0</v>
      </c>
      <c r="G47" s="476">
        <f>IF(D39&lt;1000,(D39*G43),(D39*G44))</f>
        <v>0</v>
      </c>
      <c r="H47" s="601">
        <f>IF(D39&lt;1000,(D39*H43),(D39*H44))</f>
        <v>0</v>
      </c>
      <c r="I47" s="590"/>
    </row>
    <row r="48" spans="1:9" ht="15.75" thickBot="1" x14ac:dyDescent="0.3">
      <c r="A48" s="467"/>
      <c r="B48" s="602"/>
      <c r="C48" s="603"/>
      <c r="D48" s="603"/>
      <c r="E48" s="603"/>
      <c r="F48" s="603"/>
      <c r="G48" s="603"/>
      <c r="H48" s="604"/>
      <c r="I48" s="467"/>
    </row>
  </sheetData>
  <sheetProtection sheet="1" scenarios="1"/>
  <mergeCells count="10">
    <mergeCell ref="B39:C39"/>
    <mergeCell ref="D41:H41"/>
    <mergeCell ref="B42:C42"/>
    <mergeCell ref="B47:C47"/>
    <mergeCell ref="I16:I17"/>
    <mergeCell ref="C16:D16"/>
    <mergeCell ref="E16:F16"/>
    <mergeCell ref="G16:H16"/>
    <mergeCell ref="B43:C43"/>
    <mergeCell ref="B37:H37"/>
  </mergeCells>
  <hyperlinks>
    <hyperlink ref="A30" r:id="rId1" xr:uid="{00000000-0004-0000-0800-000000000000}"/>
  </hyperlinks>
  <pageMargins left="0.7" right="0.7" top="0.75" bottom="0.75" header="0.3" footer="0.3"/>
  <pageSetup paperSize="9"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référentiel" ma:contentTypeID="0x010100108A61D7BE634F76874FDC084DD0BD15009E39C29C26594BAC90AC8ED3FDFD77E0009A80799EFFA1F4489F9EEB4702F3E532" ma:contentTypeVersion="12" ma:contentTypeDescription="" ma:contentTypeScope="" ma:versionID="c3fc479be462a491bdb04ba73bd3d9e9">
  <xsd:schema xmlns:xsd="http://www.w3.org/2001/XMLSchema" xmlns:xs="http://www.w3.org/2001/XMLSchema" xmlns:p="http://schemas.microsoft.com/office/2006/metadata/properties" xmlns:ns2="7d6325c6-b0a7-42da-9e3d-1c70d5c69401" xmlns:ns3="23654623-3edb-4a77-8ef0-6a7c9bcbd2ca" targetNamespace="http://schemas.microsoft.com/office/2006/metadata/properties" ma:root="true" ma:fieldsID="2ac5909ad70a14bf32c24c5a8dfa62cd" ns2:_="" ns3:_="">
    <xsd:import namespace="7d6325c6-b0a7-42da-9e3d-1c70d5c69401"/>
    <xsd:import namespace="23654623-3edb-4a77-8ef0-6a7c9bcbd2ca"/>
    <xsd:element name="properties">
      <xsd:complexType>
        <xsd:sequence>
          <xsd:element name="documentManagement">
            <xsd:complexType>
              <xsd:all>
                <xsd:element ref="ns2:CollabExternalReferences" minOccurs="0"/>
                <xsd:element ref="ns3:CollabVersion" minOccurs="0"/>
                <xsd:element ref="ns2:CollabComments" minOccurs="0"/>
                <xsd:element ref="ns2:CollabDate" minOccurs="0"/>
                <xsd:element ref="ns3:CollabRedacteur" minOccurs="0"/>
                <xsd:element ref="ns3:CollabTypeDocument" minOccurs="0"/>
                <xsd:element ref="ns3:d570fa590395422c8c0a6add7cb777d0"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6325c6-b0a7-42da-9e3d-1c70d5c69401" elementFormDefault="qualified">
    <xsd:import namespace="http://schemas.microsoft.com/office/2006/documentManagement/types"/>
    <xsd:import namespace="http://schemas.microsoft.com/office/infopath/2007/PartnerControls"/>
    <xsd:element name="CollabExternalReferences" ma:index="1" nillable="true" ma:displayName="Référence" ma:internalName="CollabExternalReferences" ma:readOnly="false">
      <xsd:simpleType>
        <xsd:restriction base="dms:Text">
          <xsd:maxLength value="255"/>
        </xsd:restriction>
      </xsd:simpleType>
    </xsd:element>
    <xsd:element name="CollabComments" ma:index="4" nillable="true" ma:displayName="Observation(s)" ma:internalName="CollabComments" ma:readOnly="false">
      <xsd:simpleType>
        <xsd:restriction base="dms:Note">
          <xsd:maxLength value="255"/>
        </xsd:restriction>
      </xsd:simpleType>
    </xsd:element>
    <xsd:element name="CollabDate" ma:index="5" nillable="true" ma:displayName="Date de création-modification" ma:format="DateOnly" ma:LCID="1036" ma:internalName="CollabDate" ma:readOnly="fals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3654623-3edb-4a77-8ef0-6a7c9bcbd2ca" elementFormDefault="qualified">
    <xsd:import namespace="http://schemas.microsoft.com/office/2006/documentManagement/types"/>
    <xsd:import namespace="http://schemas.microsoft.com/office/infopath/2007/PartnerControls"/>
    <xsd:element name="CollabVersion" ma:index="2" nillable="true" ma:displayName="N° version" ma:internalName="CollabVersion">
      <xsd:simpleType>
        <xsd:restriction base="dms:Text">
          <xsd:maxLength value="255"/>
        </xsd:restriction>
      </xsd:simpleType>
    </xsd:element>
    <xsd:element name="CollabRedacteur" ma:index="7" nillable="true" ma:displayName="Rédacteur" ma:internalName="CollabRedacteur">
      <xsd:simpleType>
        <xsd:restriction base="dms:Text">
          <xsd:maxLength value="255"/>
        </xsd:restriction>
      </xsd:simpleType>
    </xsd:element>
    <xsd:element name="CollabTypeDocument" ma:index="8" nillable="true" ma:displayName="Type de document" ma:format="RadioButtons" ma:internalName="CollabTypeDocument">
      <xsd:simpleType>
        <xsd:restriction base="dms:Choice">
          <xsd:enumeration value="Mo - Modèle"/>
          <xsd:enumeration value="NO.I - Note d'instruction"/>
          <xsd:enumeration value="P-Processus"/>
          <xsd:enumeration value="Pr-Procédure"/>
          <xsd:enumeration value="F-Formulaire"/>
          <xsd:enumeration value="Gu-Guide"/>
          <xsd:enumeration value="Doc-Document"/>
        </xsd:restriction>
      </xsd:simpleType>
    </xsd:element>
    <xsd:element name="d570fa590395422c8c0a6add7cb777d0" ma:index="11" nillable="true" ma:taxonomy="true" ma:internalName="d570fa590395422c8c0a6add7cb777d0" ma:taxonomyFieldName="CollabClassement" ma:displayName="Unité émettrice" ma:default="" ma:fieldId="{d570fa59-0395-422c-8c0a-6add7cb777d0}" ma:sspId="ea6c1742-5521-40b5-9022-00c35f6f2763" ma:termSetId="7f70cc1b-52c7-4195-bd11-f340a656ed6f" ma:anchorId="00000000-0000-0000-0000-000000000000" ma:open="false" ma:isKeyword="false">
      <xsd:complexType>
        <xsd:sequence>
          <xsd:element ref="pc:Terms" minOccurs="0" maxOccurs="1"/>
        </xsd:sequence>
      </xsd:complexType>
    </xsd:element>
    <xsd:element name="TaxCatchAll" ma:index="12" nillable="true" ma:displayName="Taxonomy Catch All Column" ma:description="" ma:hidden="true" ma:list="{3e1c1fc9-7ed4-464e-8718-d6eff224ebbc}" ma:internalName="TaxCatchAll" ma:showField="CatchAllData" ma:web="23654623-3edb-4a77-8ef0-6a7c9bcbd2ca">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3e1c1fc9-7ed4-464e-8718-d6eff224ebbc}" ma:internalName="TaxCatchAllLabel" ma:readOnly="true" ma:showField="CatchAllDataLabel" ma:web="23654623-3edb-4a77-8ef0-6a7c9bcbd2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ype de contenu"/>
        <xsd:element ref="dc:title" maxOccurs="1" ma:index="3"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llabVersion xmlns="23654623-3edb-4a77-8ef0-6a7c9bcbd2ca" xsi:nil="true"/>
    <CollabRedacteur xmlns="23654623-3edb-4a77-8ef0-6a7c9bcbd2ca" xsi:nil="true"/>
    <d570fa590395422c8c0a6add7cb777d0 xmlns="23654623-3edb-4a77-8ef0-6a7c9bcbd2ca">
      <Terms xmlns="http://schemas.microsoft.com/office/infopath/2007/PartnerControls">
        <TermInfo xmlns="http://schemas.microsoft.com/office/infopath/2007/PartnerControls">
          <TermName xmlns="http://schemas.microsoft.com/office/infopath/2007/PartnerControls">INSTN/DSTG/SSG</TermName>
          <TermId xmlns="http://schemas.microsoft.com/office/infopath/2007/PartnerControls">6c61598a-df89-43ae-b7e2-bfa0ad72c4ac</TermId>
        </TermInfo>
      </Terms>
    </d570fa590395422c8c0a6add7cb777d0>
    <CollabTypeDocument xmlns="23654623-3edb-4a77-8ef0-6a7c9bcbd2ca">Doc-Document</CollabTypeDocument>
    <CollabComments xmlns="7d6325c6-b0a7-42da-9e3d-1c70d5c69401" xsi:nil="true"/>
    <TaxCatchAll xmlns="23654623-3edb-4a77-8ef0-6a7c9bcbd2ca">
      <Value>13</Value>
    </TaxCatchAll>
    <CollabExternalReferences xmlns="7d6325c6-b0a7-42da-9e3d-1c70d5c69401" xsi:nil="true"/>
    <CollabDate xmlns="7d6325c6-b0a7-42da-9e3d-1c70d5c69401">2025-01-16T23:00:00+00:00</CollabDat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F99C3E-D3A7-49A7-8C2F-E4971BD78B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6325c6-b0a7-42da-9e3d-1c70d5c69401"/>
    <ds:schemaRef ds:uri="23654623-3edb-4a77-8ef0-6a7c9bcbd2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FD84D1-5DCC-4D7D-8103-FFAC848EDBD6}">
  <ds:schemaRefs>
    <ds:schemaRef ds:uri="http://schemas.microsoft.com/office/2006/metadata/properties"/>
    <ds:schemaRef ds:uri="http://schemas.microsoft.com/office/infopath/2007/PartnerControls"/>
    <ds:schemaRef ds:uri="23654623-3edb-4a77-8ef0-6a7c9bcbd2ca"/>
    <ds:schemaRef ds:uri="7d6325c6-b0a7-42da-9e3d-1c70d5c69401"/>
  </ds:schemaRefs>
</ds:datastoreItem>
</file>

<file path=customXml/itemProps3.xml><?xml version="1.0" encoding="utf-8"?>
<ds:datastoreItem xmlns:ds="http://schemas.openxmlformats.org/officeDocument/2006/customXml" ds:itemID="{D2BDCAFF-1048-4B4C-B875-FC53D1C9B13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vt:i4>
      </vt:variant>
      <vt:variant>
        <vt:lpstr>Plages nommées</vt:lpstr>
      </vt:variant>
      <vt:variant>
        <vt:i4>4</vt:i4>
      </vt:variant>
    </vt:vector>
  </HeadingPairs>
  <TitlesOfParts>
    <vt:vector size="14" baseType="lpstr">
      <vt:lpstr>Gestion des versions</vt:lpstr>
      <vt:lpstr>Mode d'emploi</vt:lpstr>
      <vt:lpstr>Table FD&amp;FC</vt:lpstr>
      <vt:lpstr>Fiche de coûts</vt:lpstr>
      <vt:lpstr>Feuil1</vt:lpstr>
      <vt:lpstr>LMS</vt:lpstr>
      <vt:lpstr>Conception numérique</vt:lpstr>
      <vt:lpstr>Coûts installations</vt:lpstr>
      <vt:lpstr>Coûts frais variables</vt:lpstr>
      <vt:lpstr>Coûts frais déplacement</vt:lpstr>
      <vt:lpstr>'Table FD&amp;FC'!Impression_des_titres</vt:lpstr>
      <vt:lpstr>'Conception numérique'!Zone_d_impression</vt:lpstr>
      <vt:lpstr>'Fiche de coûts'!Zone_d_impression</vt:lpstr>
      <vt:lpstr>LMS!Zone_d_impression</vt:lpstr>
    </vt:vector>
  </TitlesOfParts>
  <Company>CEA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Fiche de coûts INSTN V6.1 du 17/01/2025</dc:title>
  <dc:creator>COSTE Jean-christophe</dc:creator>
  <cp:lastModifiedBy>TESTARD Vincent</cp:lastModifiedBy>
  <cp:lastPrinted>2021-05-26T09:22:29Z</cp:lastPrinted>
  <dcterms:created xsi:type="dcterms:W3CDTF">2018-11-22T17:13:44Z</dcterms:created>
  <dcterms:modified xsi:type="dcterms:W3CDTF">2026-01-29T09:09:51Z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2ICODE">
    <vt:lpwstr>COLLAB</vt:lpwstr>
  </property>
  <property fmtid="{D5CDD505-2E9C-101B-9397-08002B2CF9AE}" pid="3" name="CollabXmlContent">
    <vt:lpwstr>&lt;CollabItems&gt;_x000d_
  &lt;CollabItem&gt;_x000d_
    &lt;FileLeafRef&gt;Fiche de coûts INSTN.xlsx&lt;/FileLeafRef&gt;_x000d_
    &lt;Title&gt;Fiche de coûts INSTN V6.1 du 17/01/2025&lt;/Title&gt;_x000d_
    &lt;CollabComments /&gt;_x000d_
    &lt;CollabDate&gt;17/01/2025&lt;/CollabDate&gt;_x000d_
    &lt;CollabExternalReferences /&gt;_x000d_
    &lt;CollabClassement&gt;INSTN/DSTG/SSG&lt;/CollabClassement&gt;_x000d_
    &lt;CollabRedacteur /&gt;_x000d_
    &lt;CollabTypeDocument&gt;Doc-Document&lt;/CollabTypeDocument&gt;_x000d_
    &lt;Created&gt;17/01/2025&lt;/Created&gt;_x000d_
    &lt;CollabVersion /&gt;_x000d_
    &lt;ContentType&gt;Document référentiel&lt;/ContentType&gt;_x000d_
    &lt;Author&gt;HUGUET Céline&lt;/Author&gt;_x000d_
    &lt;Modified&gt;24/01/2025&lt;/Modified&gt;_x000d_
    &lt;Editor&gt;HUGUET Céline&lt;/Editor&gt;_x000d_
    &lt;DocIcon&gt;xlsx&lt;/DocIcon&gt;_x000d_
    &lt;EncodedAbsUrl&gt;https://ged-instn.intra.cea.fr/P10/Politique%20tarifaire/Fiche%20de%20coûts%20INSTN.xlsx&lt;/EncodedAbsUrl&gt;_x000d_
    &lt;FileSizeDisplay&gt;183022&lt;/FileSizeDisplay&gt;_x000d_
    &lt;_CommentCount /&gt;_x000d_
    &lt;_LikeCount /&gt;_x000d_
    &lt;_UIVersionString&gt;3.0&lt;/_UIVersionString&gt;_x000d_
  &lt;/CollabItem&gt;_x000d_
&lt;/CollabItems&gt;</vt:lpwstr>
  </property>
  <property fmtid="{D5CDD505-2E9C-101B-9397-08002B2CF9AE}" pid="4" name="WebApplicationID">
    <vt:lpwstr>a01c0b3b-b121-4231-a3bf-fa7761c20e19</vt:lpwstr>
  </property>
  <property fmtid="{D5CDD505-2E9C-101B-9397-08002B2CF9AE}" pid="5" name="I2ISITECODE">
    <vt:lpwstr/>
  </property>
  <property fmtid="{D5CDD505-2E9C-101B-9397-08002B2CF9AE}" pid="6" name="ContentTypeId">
    <vt:lpwstr>0x010100108A61D7BE634F76874FDC084DD0BD15009E39C29C26594BAC90AC8ED3FDFD77E0009A80799EFFA1F4489F9EEB4702F3E532</vt:lpwstr>
  </property>
  <property fmtid="{D5CDD505-2E9C-101B-9397-08002B2CF9AE}" pid="7" name="CollabClassement">
    <vt:lpwstr>13;#INSTN/DSTG/SSG|6c61598a-df89-43ae-b7e2-bfa0ad72c4ac</vt:lpwstr>
  </property>
  <property fmtid="{D5CDD505-2E9C-101B-9397-08002B2CF9AE}" pid="8" name="IsCollabDocument">
    <vt:bool>true</vt:bool>
  </property>
</Properties>
</file>