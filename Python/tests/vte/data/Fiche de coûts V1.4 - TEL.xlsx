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t238770\Documents\_CEA\Prog\Python\tests\vte\data\"/>
    </mc:Choice>
  </mc:AlternateContent>
  <xr:revisionPtr revIDLastSave="0" documentId="8_{F2150533-192C-4B6F-A0F0-1F1157D49831}" xr6:coauthVersionLast="47" xr6:coauthVersionMax="47" xr10:uidLastSave="{00000000-0000-0000-0000-000000000000}"/>
  <bookViews>
    <workbookView xWindow="-120" yWindow="-120" windowWidth="29040" windowHeight="17520" firstSheet="1" activeTab="2" xr2:uid="{00000000-000D-0000-FFFF-FFFF00000000}"/>
  </bookViews>
  <sheets>
    <sheet name="Mode d'emploi" sheetId="15" r:id="rId1"/>
    <sheet name="Table OS Formations" sheetId="5" r:id="rId2"/>
    <sheet name="Fiche de coûts" sheetId="1" r:id="rId3"/>
    <sheet name="Coûts installations" sheetId="2" r:id="rId4"/>
    <sheet name="Coûts frais variables" sheetId="3" r:id="rId5"/>
    <sheet name="Coûts frais déplacement" sheetId="4" r:id="rId6"/>
    <sheet name="Fiche de coûts part1" sheetId="6" r:id="rId7"/>
    <sheet name="Coûts installations part1" sheetId="7" r:id="rId8"/>
    <sheet name="Coûts frais variables part1" sheetId="8" r:id="rId9"/>
    <sheet name="Coûts frais déplacement part1" sheetId="9" r:id="rId10"/>
    <sheet name="Fiche de coûts part2" sheetId="10" r:id="rId11"/>
    <sheet name="Coûts installations part2" sheetId="11" r:id="rId12"/>
    <sheet name="Coûts frais variables part2" sheetId="12" r:id="rId13"/>
    <sheet name="Coûts frais déplacement part2" sheetId="13" r:id="rId14"/>
    <sheet name="Fiche de coûts conso" sheetId="14" r:id="rId15"/>
  </sheets>
  <definedNames>
    <definedName name="_xlnm.Print_Area" localSheetId="2">'Fiche de coûts'!$A$1:$M$100</definedName>
    <definedName name="_xlnm.Print_Area" localSheetId="14">'Fiche de coûts conso'!$A$1:$M$100</definedName>
    <definedName name="_xlnm.Print_Area" localSheetId="6">'Fiche de coûts part1'!$A$1:$M$100</definedName>
    <definedName name="_xlnm.Print_Area" localSheetId="10">'Fiche de coûts part2'!$A$1:$M$100</definedName>
    <definedName name="_xlnm.Print_Area" localSheetId="1">'Table OS Formations'!$A$1:$E$87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3" l="1"/>
  <c r="AI27" i="1" l="1"/>
  <c r="AF6" i="1" l="1"/>
  <c r="W6" i="1"/>
  <c r="V6" i="1"/>
  <c r="U6" i="1"/>
  <c r="T6" i="1"/>
  <c r="J17" i="1" l="1"/>
  <c r="X6" i="1" l="1"/>
  <c r="C12" i="1"/>
  <c r="A1" i="6" l="1"/>
  <c r="A1" i="10" s="1"/>
  <c r="A1" i="14" s="1"/>
  <c r="D4" i="3"/>
  <c r="E4" i="3" s="1"/>
  <c r="D19" i="3"/>
  <c r="E19" i="3" s="1"/>
  <c r="J88" i="1" s="1"/>
  <c r="L88" i="1" s="1"/>
  <c r="C14" i="6"/>
  <c r="D16" i="8" s="1"/>
  <c r="E16" i="8" s="1"/>
  <c r="J85" i="6" s="1"/>
  <c r="M85" i="6" s="1"/>
  <c r="C14" i="10"/>
  <c r="D16" i="12" s="1"/>
  <c r="E16" i="12" s="1"/>
  <c r="J85" i="10" s="1"/>
  <c r="M18" i="14"/>
  <c r="M17" i="14"/>
  <c r="I52" i="14"/>
  <c r="I50" i="14"/>
  <c r="I52" i="10"/>
  <c r="I50" i="10"/>
  <c r="L21" i="10" s="1"/>
  <c r="I52" i="6"/>
  <c r="I50" i="6"/>
  <c r="J96" i="14"/>
  <c r="I96" i="14"/>
  <c r="J95" i="14"/>
  <c r="I95" i="14"/>
  <c r="J94" i="14"/>
  <c r="I94" i="14"/>
  <c r="M94" i="14" s="1"/>
  <c r="J93" i="14"/>
  <c r="I93" i="14"/>
  <c r="J92" i="14"/>
  <c r="I92" i="14"/>
  <c r="J91" i="14"/>
  <c r="I91" i="14"/>
  <c r="J90" i="14"/>
  <c r="I90" i="14"/>
  <c r="J89" i="14"/>
  <c r="I89" i="14"/>
  <c r="I88" i="14"/>
  <c r="D18" i="3"/>
  <c r="E18" i="3" s="1"/>
  <c r="J87" i="1" s="1"/>
  <c r="K87" i="1" s="1"/>
  <c r="D18" i="12"/>
  <c r="E18" i="12" s="1"/>
  <c r="J87" i="10" s="1"/>
  <c r="L87" i="10" s="1"/>
  <c r="I87" i="14"/>
  <c r="D17" i="3"/>
  <c r="E17" i="3" s="1"/>
  <c r="J86" i="1" s="1"/>
  <c r="M86" i="1" s="1"/>
  <c r="D17" i="12"/>
  <c r="E17" i="12" s="1"/>
  <c r="J86" i="10" s="1"/>
  <c r="I86" i="14"/>
  <c r="D16" i="3"/>
  <c r="E16" i="3" s="1"/>
  <c r="J85" i="1" s="1"/>
  <c r="K85" i="1" s="1"/>
  <c r="I85" i="14"/>
  <c r="D5" i="3"/>
  <c r="E5" i="3" s="1"/>
  <c r="D6" i="3"/>
  <c r="E6" i="3" s="1"/>
  <c r="D7" i="3"/>
  <c r="E7" i="3" s="1"/>
  <c r="I84" i="14"/>
  <c r="D15" i="3"/>
  <c r="E15" i="3" s="1"/>
  <c r="J83" i="1" s="1"/>
  <c r="D15" i="12"/>
  <c r="E15" i="12" s="1"/>
  <c r="J83" i="10" s="1"/>
  <c r="M83" i="10" s="1"/>
  <c r="I83" i="14"/>
  <c r="D14" i="3"/>
  <c r="E14" i="3" s="1"/>
  <c r="J82" i="1" s="1"/>
  <c r="D14" i="12"/>
  <c r="E14" i="12" s="1"/>
  <c r="J82" i="10" s="1"/>
  <c r="I82" i="14"/>
  <c r="D13" i="3"/>
  <c r="E13" i="3" s="1"/>
  <c r="J81" i="1" s="1"/>
  <c r="L81" i="1" s="1"/>
  <c r="I81" i="14"/>
  <c r="D12" i="3"/>
  <c r="E12" i="3" s="1"/>
  <c r="J80" i="1" s="1"/>
  <c r="M80" i="1" s="1"/>
  <c r="D12" i="12"/>
  <c r="E12" i="12" s="1"/>
  <c r="J80" i="10" s="1"/>
  <c r="L80" i="10" s="1"/>
  <c r="I80" i="14"/>
  <c r="J79" i="14"/>
  <c r="I79" i="14"/>
  <c r="I78" i="14"/>
  <c r="J77" i="14"/>
  <c r="I77" i="14"/>
  <c r="I76" i="14"/>
  <c r="J75" i="14"/>
  <c r="I75" i="14"/>
  <c r="J74" i="14"/>
  <c r="I74" i="14"/>
  <c r="J73" i="14"/>
  <c r="I73" i="14"/>
  <c r="J72" i="14"/>
  <c r="I72" i="14"/>
  <c r="J71" i="14"/>
  <c r="I71" i="14"/>
  <c r="J70" i="14"/>
  <c r="I70" i="14"/>
  <c r="J69" i="14"/>
  <c r="I69" i="14"/>
  <c r="J68" i="14"/>
  <c r="I68" i="14"/>
  <c r="J67" i="14"/>
  <c r="I67" i="14"/>
  <c r="J66" i="14"/>
  <c r="I66" i="14"/>
  <c r="J65" i="14"/>
  <c r="I65" i="14"/>
  <c r="J64" i="14"/>
  <c r="I64" i="14"/>
  <c r="J63" i="14"/>
  <c r="I63" i="14"/>
  <c r="J62" i="14"/>
  <c r="I62" i="14"/>
  <c r="J61" i="14"/>
  <c r="I61" i="14"/>
  <c r="J60" i="14"/>
  <c r="I60" i="14"/>
  <c r="J59" i="14"/>
  <c r="I59" i="14"/>
  <c r="J58" i="14"/>
  <c r="I58" i="14"/>
  <c r="J57" i="14"/>
  <c r="I57" i="14"/>
  <c r="J56" i="14"/>
  <c r="I56" i="14"/>
  <c r="G69" i="14"/>
  <c r="F69" i="14"/>
  <c r="G68" i="14"/>
  <c r="F68" i="14"/>
  <c r="G67" i="14"/>
  <c r="H67" i="14" s="1"/>
  <c r="F67" i="14"/>
  <c r="D95" i="14"/>
  <c r="C95" i="14"/>
  <c r="E95" i="14" s="1"/>
  <c r="L95" i="14" s="1"/>
  <c r="D93" i="14"/>
  <c r="C93" i="14"/>
  <c r="D92" i="14"/>
  <c r="C92" i="14"/>
  <c r="D91" i="14"/>
  <c r="C91" i="14"/>
  <c r="D90" i="14"/>
  <c r="C90" i="14"/>
  <c r="D89" i="14"/>
  <c r="C89" i="14"/>
  <c r="D75" i="14"/>
  <c r="C75" i="14"/>
  <c r="D74" i="14"/>
  <c r="C74" i="14"/>
  <c r="D73" i="14"/>
  <c r="C73" i="14"/>
  <c r="D72" i="14"/>
  <c r="C72" i="14"/>
  <c r="D70" i="14"/>
  <c r="C70" i="14"/>
  <c r="D69" i="14"/>
  <c r="C69" i="14"/>
  <c r="D68" i="14"/>
  <c r="C68" i="14"/>
  <c r="D67" i="14"/>
  <c r="C67" i="14"/>
  <c r="D66" i="14"/>
  <c r="C66" i="14"/>
  <c r="E66" i="14" s="1"/>
  <c r="D65" i="14"/>
  <c r="C65" i="14"/>
  <c r="D64" i="14"/>
  <c r="C64" i="14"/>
  <c r="D63" i="14"/>
  <c r="C63" i="14"/>
  <c r="D62" i="14"/>
  <c r="C62" i="14"/>
  <c r="D61" i="14"/>
  <c r="C61" i="14"/>
  <c r="D60" i="14"/>
  <c r="C60" i="14"/>
  <c r="D59" i="14"/>
  <c r="C59" i="14"/>
  <c r="E59" i="14" s="1"/>
  <c r="L59" i="14" s="1"/>
  <c r="D58" i="14"/>
  <c r="C58" i="14"/>
  <c r="D57" i="14"/>
  <c r="C57" i="14"/>
  <c r="D56" i="14"/>
  <c r="C56" i="14"/>
  <c r="J48" i="14"/>
  <c r="J47" i="14"/>
  <c r="I47" i="14"/>
  <c r="J46" i="14"/>
  <c r="I46" i="14"/>
  <c r="J45" i="14"/>
  <c r="I45" i="14"/>
  <c r="J44" i="14"/>
  <c r="I44" i="14"/>
  <c r="J43" i="14"/>
  <c r="I43" i="14"/>
  <c r="J42" i="14"/>
  <c r="I42" i="14"/>
  <c r="J41" i="14"/>
  <c r="I41" i="14"/>
  <c r="J40" i="14"/>
  <c r="I40" i="14"/>
  <c r="J39" i="14"/>
  <c r="I39" i="14"/>
  <c r="J38" i="14"/>
  <c r="I38" i="14"/>
  <c r="J37" i="14"/>
  <c r="I37" i="14"/>
  <c r="L37" i="14" s="1"/>
  <c r="J36" i="14"/>
  <c r="I36" i="14"/>
  <c r="J35" i="14"/>
  <c r="I35" i="14"/>
  <c r="J34" i="14"/>
  <c r="I34" i="14"/>
  <c r="J33" i="14"/>
  <c r="I33" i="14"/>
  <c r="J32" i="14"/>
  <c r="I32" i="14"/>
  <c r="C47" i="14"/>
  <c r="C46" i="14"/>
  <c r="E46" i="14" s="1"/>
  <c r="M46" i="14" s="1"/>
  <c r="C45" i="14"/>
  <c r="C44" i="14"/>
  <c r="E44" i="14" s="1"/>
  <c r="L44" i="14" s="1"/>
  <c r="C43" i="14"/>
  <c r="C42" i="14"/>
  <c r="C41" i="14"/>
  <c r="C40" i="14"/>
  <c r="C39" i="14"/>
  <c r="C38" i="14"/>
  <c r="C37" i="14"/>
  <c r="C36" i="14"/>
  <c r="C35" i="14"/>
  <c r="C34" i="14"/>
  <c r="C33" i="14"/>
  <c r="D47" i="14"/>
  <c r="E47" i="14" s="1"/>
  <c r="L47" i="14" s="1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C32" i="14"/>
  <c r="E32" i="14" s="1"/>
  <c r="C15" i="14"/>
  <c r="C14" i="14"/>
  <c r="C11" i="14"/>
  <c r="C10" i="14"/>
  <c r="C9" i="14"/>
  <c r="C8" i="14"/>
  <c r="C7" i="14"/>
  <c r="C6" i="14"/>
  <c r="C5" i="14"/>
  <c r="C15" i="6"/>
  <c r="L5" i="6" s="1"/>
  <c r="C11" i="6"/>
  <c r="C10" i="6"/>
  <c r="C9" i="6"/>
  <c r="C8" i="6"/>
  <c r="C7" i="6"/>
  <c r="C6" i="6"/>
  <c r="C15" i="10"/>
  <c r="E11" i="10"/>
  <c r="D11" i="10"/>
  <c r="C11" i="10"/>
  <c r="C10" i="10"/>
  <c r="C9" i="10"/>
  <c r="C8" i="10"/>
  <c r="C7" i="10"/>
  <c r="C6" i="10"/>
  <c r="C5" i="10"/>
  <c r="C5" i="6"/>
  <c r="G118" i="14"/>
  <c r="G117" i="14"/>
  <c r="G116" i="14"/>
  <c r="G115" i="14"/>
  <c r="G114" i="14"/>
  <c r="M113" i="14"/>
  <c r="L113" i="14"/>
  <c r="G113" i="14"/>
  <c r="C109" i="14"/>
  <c r="K108" i="14"/>
  <c r="C108" i="14"/>
  <c r="E92" i="14" s="1"/>
  <c r="G106" i="14"/>
  <c r="M96" i="14"/>
  <c r="L96" i="14"/>
  <c r="K96" i="14"/>
  <c r="M77" i="14"/>
  <c r="L77" i="14"/>
  <c r="K77" i="14"/>
  <c r="M71" i="14"/>
  <c r="L71" i="14"/>
  <c r="K71" i="14"/>
  <c r="E63" i="14"/>
  <c r="E60" i="14"/>
  <c r="K60" i="14" s="1"/>
  <c r="E57" i="14"/>
  <c r="K57" i="14" s="1"/>
  <c r="L5" i="14"/>
  <c r="I7" i="13"/>
  <c r="I8" i="13"/>
  <c r="I9" i="13"/>
  <c r="I10" i="13"/>
  <c r="E11" i="13"/>
  <c r="D4" i="11"/>
  <c r="D10" i="11" s="1"/>
  <c r="J76" i="10" s="1"/>
  <c r="D5" i="11"/>
  <c r="D6" i="11"/>
  <c r="D7" i="11"/>
  <c r="D8" i="11"/>
  <c r="D9" i="11"/>
  <c r="D18" i="11"/>
  <c r="F18" i="11"/>
  <c r="H18" i="11" s="1"/>
  <c r="D19" i="11"/>
  <c r="F19" i="11"/>
  <c r="H19" i="11"/>
  <c r="D20" i="11"/>
  <c r="F20" i="11"/>
  <c r="H20" i="11" s="1"/>
  <c r="D21" i="11"/>
  <c r="F21" i="11"/>
  <c r="H21" i="11" s="1"/>
  <c r="D13" i="11" s="1"/>
  <c r="J78" i="10" s="1"/>
  <c r="D22" i="11"/>
  <c r="F22" i="11"/>
  <c r="H22" i="11" s="1"/>
  <c r="D23" i="11"/>
  <c r="F23" i="11"/>
  <c r="H23" i="11"/>
  <c r="D29" i="11"/>
  <c r="H29" i="11"/>
  <c r="D30" i="11"/>
  <c r="H30" i="11"/>
  <c r="D31" i="11"/>
  <c r="H31" i="11"/>
  <c r="D32" i="11"/>
  <c r="H32" i="11"/>
  <c r="D37" i="11"/>
  <c r="H37" i="11"/>
  <c r="D38" i="11"/>
  <c r="H38" i="11"/>
  <c r="D39" i="11"/>
  <c r="H39" i="11"/>
  <c r="D40" i="11"/>
  <c r="H40" i="11"/>
  <c r="D45" i="11"/>
  <c r="H45" i="11"/>
  <c r="D46" i="11"/>
  <c r="H46" i="11"/>
  <c r="D47" i="11"/>
  <c r="H47" i="11"/>
  <c r="D48" i="11"/>
  <c r="H48" i="11"/>
  <c r="D49" i="11"/>
  <c r="H49" i="11"/>
  <c r="D50" i="11"/>
  <c r="H50" i="11"/>
  <c r="D51" i="11"/>
  <c r="H51" i="11"/>
  <c r="D52" i="11"/>
  <c r="H52" i="11"/>
  <c r="H53" i="11"/>
  <c r="D54" i="11"/>
  <c r="H54" i="11"/>
  <c r="D55" i="11"/>
  <c r="H55" i="11"/>
  <c r="D56" i="11"/>
  <c r="H56" i="11"/>
  <c r="D57" i="11"/>
  <c r="H57" i="11"/>
  <c r="E61" i="11"/>
  <c r="E62" i="11"/>
  <c r="E63" i="11"/>
  <c r="E64" i="11"/>
  <c r="E65" i="11"/>
  <c r="E66" i="11"/>
  <c r="E67" i="11"/>
  <c r="E68" i="11"/>
  <c r="E69" i="11"/>
  <c r="E71" i="11"/>
  <c r="E72" i="11"/>
  <c r="E73" i="11"/>
  <c r="E74" i="11"/>
  <c r="L5" i="10"/>
  <c r="K21" i="10"/>
  <c r="K23" i="10" s="1"/>
  <c r="K48" i="10"/>
  <c r="L48" i="10"/>
  <c r="M48" i="10"/>
  <c r="C49" i="10"/>
  <c r="D49" i="10"/>
  <c r="D51" i="10" s="1"/>
  <c r="I49" i="10"/>
  <c r="J49" i="10"/>
  <c r="H67" i="10"/>
  <c r="H97" i="10" s="1"/>
  <c r="H68" i="10"/>
  <c r="H69" i="10"/>
  <c r="K71" i="10"/>
  <c r="L71" i="10"/>
  <c r="M71" i="10"/>
  <c r="K77" i="10"/>
  <c r="L77" i="10"/>
  <c r="M77" i="10"/>
  <c r="K79" i="10"/>
  <c r="L79" i="10"/>
  <c r="M79" i="10"/>
  <c r="B85" i="10"/>
  <c r="B86" i="10"/>
  <c r="B87" i="10"/>
  <c r="B88" i="10"/>
  <c r="K94" i="10"/>
  <c r="L94" i="10"/>
  <c r="M94" i="10"/>
  <c r="K96" i="10"/>
  <c r="L96" i="10"/>
  <c r="M96" i="10"/>
  <c r="C97" i="10"/>
  <c r="D97" i="10"/>
  <c r="F97" i="10"/>
  <c r="G97" i="10"/>
  <c r="I97" i="10"/>
  <c r="G106" i="10"/>
  <c r="C108" i="10"/>
  <c r="K108" i="10"/>
  <c r="C109" i="10"/>
  <c r="E46" i="10" s="1"/>
  <c r="K46" i="10" s="1"/>
  <c r="G113" i="10"/>
  <c r="L113" i="10"/>
  <c r="M113" i="10"/>
  <c r="G114" i="10"/>
  <c r="G115" i="10"/>
  <c r="G116" i="10"/>
  <c r="G117" i="10"/>
  <c r="G118" i="10"/>
  <c r="E11" i="9"/>
  <c r="I10" i="9"/>
  <c r="I9" i="9"/>
  <c r="I8" i="9"/>
  <c r="I7" i="9"/>
  <c r="E74" i="7"/>
  <c r="E73" i="7"/>
  <c r="E72" i="7"/>
  <c r="E71" i="7"/>
  <c r="E69" i="7"/>
  <c r="E68" i="7"/>
  <c r="E67" i="7"/>
  <c r="E66" i="7"/>
  <c r="E65" i="7"/>
  <c r="E64" i="7"/>
  <c r="E63" i="7"/>
  <c r="E62" i="7"/>
  <c r="E61" i="7"/>
  <c r="H57" i="7"/>
  <c r="D57" i="7"/>
  <c r="H56" i="7"/>
  <c r="D56" i="7"/>
  <c r="H55" i="7"/>
  <c r="D55" i="7"/>
  <c r="H54" i="7"/>
  <c r="D54" i="7"/>
  <c r="H53" i="7"/>
  <c r="H52" i="7"/>
  <c r="D52" i="7"/>
  <c r="H51" i="7"/>
  <c r="D51" i="7"/>
  <c r="H50" i="7"/>
  <c r="D50" i="7"/>
  <c r="H49" i="7"/>
  <c r="D49" i="7"/>
  <c r="H48" i="7"/>
  <c r="D48" i="7"/>
  <c r="H47" i="7"/>
  <c r="D47" i="7"/>
  <c r="H46" i="7"/>
  <c r="D46" i="7"/>
  <c r="H45" i="7"/>
  <c r="D45" i="7"/>
  <c r="H40" i="7"/>
  <c r="D40" i="7"/>
  <c r="H39" i="7"/>
  <c r="D39" i="7"/>
  <c r="H38" i="7"/>
  <c r="D38" i="7"/>
  <c r="H37" i="7"/>
  <c r="D37" i="7"/>
  <c r="H32" i="7"/>
  <c r="D32" i="7"/>
  <c r="H31" i="7"/>
  <c r="D31" i="7"/>
  <c r="H30" i="7"/>
  <c r="D30" i="7"/>
  <c r="H29" i="7"/>
  <c r="D29" i="7"/>
  <c r="F23" i="7"/>
  <c r="H23" i="7" s="1"/>
  <c r="D23" i="7"/>
  <c r="F22" i="7"/>
  <c r="H22" i="7" s="1"/>
  <c r="D22" i="7"/>
  <c r="F21" i="7"/>
  <c r="H21" i="7" s="1"/>
  <c r="D21" i="7"/>
  <c r="F20" i="7"/>
  <c r="H20" i="7" s="1"/>
  <c r="D20" i="7"/>
  <c r="F19" i="7"/>
  <c r="H19" i="7" s="1"/>
  <c r="D19" i="7"/>
  <c r="F18" i="7"/>
  <c r="H18" i="7" s="1"/>
  <c r="D18" i="7"/>
  <c r="D9" i="7"/>
  <c r="D8" i="7"/>
  <c r="D7" i="7"/>
  <c r="D6" i="7"/>
  <c r="D5" i="7"/>
  <c r="D4" i="7"/>
  <c r="D10" i="7" s="1"/>
  <c r="J76" i="6" s="1"/>
  <c r="G118" i="6"/>
  <c r="G117" i="6"/>
  <c r="G116" i="6"/>
  <c r="G115" i="6"/>
  <c r="G114" i="6"/>
  <c r="M113" i="6"/>
  <c r="L113" i="6"/>
  <c r="G113" i="6"/>
  <c r="C109" i="6"/>
  <c r="E70" i="6" s="1"/>
  <c r="C108" i="6"/>
  <c r="G106" i="6"/>
  <c r="I97" i="6"/>
  <c r="G97" i="6"/>
  <c r="F97" i="6"/>
  <c r="D97" i="6"/>
  <c r="C97" i="6"/>
  <c r="M96" i="6"/>
  <c r="L96" i="6"/>
  <c r="K96" i="6"/>
  <c r="M94" i="6"/>
  <c r="L94" i="6"/>
  <c r="K94" i="6"/>
  <c r="B88" i="6"/>
  <c r="B87" i="6"/>
  <c r="B86" i="6"/>
  <c r="B85" i="6"/>
  <c r="M79" i="6"/>
  <c r="L79" i="6"/>
  <c r="K79" i="6"/>
  <c r="M77" i="6"/>
  <c r="L77" i="6"/>
  <c r="K77" i="6"/>
  <c r="M71" i="6"/>
  <c r="L71" i="6"/>
  <c r="K71" i="6"/>
  <c r="H69" i="6"/>
  <c r="H68" i="6"/>
  <c r="H67" i="6"/>
  <c r="E62" i="6"/>
  <c r="K62" i="6" s="1"/>
  <c r="E57" i="6"/>
  <c r="L57" i="6" s="1"/>
  <c r="J49" i="6"/>
  <c r="I49" i="6"/>
  <c r="D49" i="6"/>
  <c r="C49" i="6"/>
  <c r="M48" i="6"/>
  <c r="L48" i="6"/>
  <c r="K48" i="6"/>
  <c r="E34" i="14"/>
  <c r="K34" i="14" s="1"/>
  <c r="E37" i="14"/>
  <c r="E38" i="14"/>
  <c r="L38" i="14" s="1"/>
  <c r="E72" i="14"/>
  <c r="M72" i="14" s="1"/>
  <c r="G11" i="13"/>
  <c r="I11" i="13" s="1"/>
  <c r="I12" i="13"/>
  <c r="E64" i="6"/>
  <c r="M64" i="6" s="1"/>
  <c r="E75" i="6"/>
  <c r="M75" i="6" s="1"/>
  <c r="E95" i="6"/>
  <c r="K95" i="6" s="1"/>
  <c r="E47" i="6"/>
  <c r="L47" i="6" s="1"/>
  <c r="E43" i="6"/>
  <c r="M43" i="6" s="1"/>
  <c r="E38" i="6"/>
  <c r="K38" i="6" s="1"/>
  <c r="E35" i="6"/>
  <c r="M35" i="6" s="1"/>
  <c r="E32" i="6"/>
  <c r="M32" i="6" s="1"/>
  <c r="G11" i="9"/>
  <c r="C12" i="14"/>
  <c r="L75" i="6"/>
  <c r="L35" i="6"/>
  <c r="G106" i="1"/>
  <c r="G118" i="1"/>
  <c r="G117" i="1"/>
  <c r="M113" i="1"/>
  <c r="L113" i="1"/>
  <c r="M96" i="1"/>
  <c r="H67" i="1"/>
  <c r="K108" i="1"/>
  <c r="G116" i="1"/>
  <c r="G115" i="1"/>
  <c r="G114" i="1"/>
  <c r="G113" i="1"/>
  <c r="B86" i="1"/>
  <c r="B87" i="1"/>
  <c r="B88" i="1"/>
  <c r="B85" i="1"/>
  <c r="K96" i="1"/>
  <c r="K94" i="1"/>
  <c r="K79" i="1"/>
  <c r="K77" i="1"/>
  <c r="K71" i="1"/>
  <c r="K48" i="1"/>
  <c r="I10" i="4"/>
  <c r="I9" i="4"/>
  <c r="I8" i="4"/>
  <c r="I7" i="4"/>
  <c r="M94" i="1"/>
  <c r="M79" i="1"/>
  <c r="M77" i="1"/>
  <c r="M71" i="1"/>
  <c r="M48" i="1"/>
  <c r="L5" i="1"/>
  <c r="C97" i="1"/>
  <c r="D97" i="1"/>
  <c r="I97" i="1"/>
  <c r="F97" i="1"/>
  <c r="G97" i="1"/>
  <c r="L96" i="1"/>
  <c r="L94" i="1"/>
  <c r="L79" i="1"/>
  <c r="L77" i="1"/>
  <c r="L71" i="1"/>
  <c r="E11" i="4"/>
  <c r="F23" i="2"/>
  <c r="H23" i="2" s="1"/>
  <c r="F22" i="2"/>
  <c r="H22" i="2" s="1"/>
  <c r="D22" i="2"/>
  <c r="D49" i="1"/>
  <c r="D51" i="1" s="1"/>
  <c r="D53" i="1" s="1"/>
  <c r="C49" i="1"/>
  <c r="C51" i="1" s="1"/>
  <c r="C53" i="1" s="1"/>
  <c r="H32" i="2"/>
  <c r="D32" i="2"/>
  <c r="H31" i="2"/>
  <c r="D31" i="2"/>
  <c r="H30" i="2"/>
  <c r="D30" i="2"/>
  <c r="H29" i="2"/>
  <c r="D29" i="2"/>
  <c r="E69" i="2"/>
  <c r="E74" i="2"/>
  <c r="E73" i="2"/>
  <c r="E72" i="2"/>
  <c r="E71" i="2"/>
  <c r="E68" i="2"/>
  <c r="E67" i="2"/>
  <c r="E66" i="2"/>
  <c r="E65" i="2"/>
  <c r="E64" i="2"/>
  <c r="E63" i="2"/>
  <c r="E62" i="2"/>
  <c r="E61" i="2"/>
  <c r="D49" i="2"/>
  <c r="H49" i="2"/>
  <c r="D50" i="2"/>
  <c r="H50" i="2"/>
  <c r="D51" i="2"/>
  <c r="H51" i="2"/>
  <c r="D52" i="2"/>
  <c r="H52" i="2"/>
  <c r="H53" i="2"/>
  <c r="D54" i="2"/>
  <c r="H54" i="2"/>
  <c r="D55" i="2"/>
  <c r="H55" i="2"/>
  <c r="D56" i="2"/>
  <c r="H56" i="2"/>
  <c r="D57" i="2"/>
  <c r="H57" i="2"/>
  <c r="H48" i="2"/>
  <c r="D48" i="2"/>
  <c r="H47" i="2"/>
  <c r="D47" i="2"/>
  <c r="H46" i="2"/>
  <c r="D46" i="2"/>
  <c r="H45" i="2"/>
  <c r="D45" i="2"/>
  <c r="H40" i="2"/>
  <c r="D40" i="2"/>
  <c r="H39" i="2"/>
  <c r="D39" i="2"/>
  <c r="H38" i="2"/>
  <c r="D38" i="2"/>
  <c r="H37" i="2"/>
  <c r="D37" i="2"/>
  <c r="D9" i="2"/>
  <c r="D5" i="2"/>
  <c r="D6" i="2"/>
  <c r="D7" i="2"/>
  <c r="D8" i="2"/>
  <c r="D4" i="2"/>
  <c r="F19" i="2"/>
  <c r="H19" i="2" s="1"/>
  <c r="F20" i="2"/>
  <c r="H20" i="2" s="1"/>
  <c r="F21" i="2"/>
  <c r="H21" i="2" s="1"/>
  <c r="D19" i="2"/>
  <c r="D20" i="2"/>
  <c r="D21" i="2"/>
  <c r="D23" i="2"/>
  <c r="D18" i="2"/>
  <c r="F18" i="2"/>
  <c r="H18" i="2" s="1"/>
  <c r="H69" i="1"/>
  <c r="H68" i="1"/>
  <c r="K88" i="1"/>
  <c r="J49" i="1"/>
  <c r="J51" i="1" s="1"/>
  <c r="J53" i="1" s="1"/>
  <c r="I49" i="1"/>
  <c r="I51" i="1" s="1"/>
  <c r="I53" i="1" s="1"/>
  <c r="C108" i="1"/>
  <c r="E47" i="1" s="1"/>
  <c r="M47" i="1" s="1"/>
  <c r="C109" i="1"/>
  <c r="E63" i="1" s="1"/>
  <c r="E35" i="1"/>
  <c r="M35" i="1" s="1"/>
  <c r="K35" i="1"/>
  <c r="E66" i="1"/>
  <c r="M66" i="1" s="1"/>
  <c r="E43" i="1"/>
  <c r="M43" i="1" s="1"/>
  <c r="E42" i="1"/>
  <c r="M42" i="1" s="1"/>
  <c r="E65" i="1"/>
  <c r="L65" i="1" s="1"/>
  <c r="E64" i="1"/>
  <c r="K64" i="1" s="1"/>
  <c r="E95" i="1"/>
  <c r="K95" i="1" s="1"/>
  <c r="E90" i="1"/>
  <c r="M90" i="1" s="1"/>
  <c r="E92" i="1"/>
  <c r="K92" i="1" s="1"/>
  <c r="E57" i="1"/>
  <c r="M57" i="1" s="1"/>
  <c r="E69" i="1"/>
  <c r="E56" i="1"/>
  <c r="M56" i="1" s="1"/>
  <c r="E73" i="1"/>
  <c r="L73" i="1" s="1"/>
  <c r="E68" i="1"/>
  <c r="L48" i="1"/>
  <c r="E46" i="1"/>
  <c r="K46" i="1" s="1"/>
  <c r="E38" i="1"/>
  <c r="M38" i="1" s="1"/>
  <c r="E34" i="1"/>
  <c r="M34" i="1" s="1"/>
  <c r="E45" i="1"/>
  <c r="M45" i="1" s="1"/>
  <c r="L42" i="1"/>
  <c r="K42" i="1"/>
  <c r="L64" i="1"/>
  <c r="M64" i="1"/>
  <c r="K68" i="1"/>
  <c r="M65" i="1"/>
  <c r="L57" i="1"/>
  <c r="L76" i="10" l="1"/>
  <c r="M76" i="10"/>
  <c r="K76" i="10"/>
  <c r="M32" i="14"/>
  <c r="K32" i="14"/>
  <c r="L32" i="14"/>
  <c r="L78" i="10"/>
  <c r="K78" i="10"/>
  <c r="M78" i="10"/>
  <c r="L92" i="14"/>
  <c r="K92" i="14"/>
  <c r="M92" i="14"/>
  <c r="E74" i="14"/>
  <c r="L74" i="14" s="1"/>
  <c r="L64" i="6"/>
  <c r="K95" i="14"/>
  <c r="E73" i="14"/>
  <c r="K73" i="14" s="1"/>
  <c r="E33" i="14"/>
  <c r="D13" i="12"/>
  <c r="E13" i="12" s="1"/>
  <c r="J81" i="10" s="1"/>
  <c r="K37" i="14"/>
  <c r="E45" i="14"/>
  <c r="L45" i="14" s="1"/>
  <c r="K32" i="6"/>
  <c r="L35" i="1"/>
  <c r="M92" i="1"/>
  <c r="L32" i="6"/>
  <c r="M34" i="14"/>
  <c r="E39" i="6"/>
  <c r="M39" i="6" s="1"/>
  <c r="E91" i="10"/>
  <c r="K91" i="10" s="1"/>
  <c r="E89" i="6"/>
  <c r="K89" i="6" s="1"/>
  <c r="E36" i="14"/>
  <c r="E68" i="14"/>
  <c r="M95" i="14"/>
  <c r="M38" i="14"/>
  <c r="E41" i="6"/>
  <c r="E63" i="10"/>
  <c r="M59" i="14"/>
  <c r="E93" i="6"/>
  <c r="K108" i="6"/>
  <c r="E70" i="10"/>
  <c r="I49" i="14"/>
  <c r="I51" i="14" s="1"/>
  <c r="I53" i="14" s="1"/>
  <c r="E61" i="14"/>
  <c r="M61" i="14" s="1"/>
  <c r="E67" i="10"/>
  <c r="M57" i="14"/>
  <c r="E62" i="14"/>
  <c r="M62" i="14" s="1"/>
  <c r="E69" i="14"/>
  <c r="D19" i="12"/>
  <c r="E19" i="12" s="1"/>
  <c r="J88" i="10" s="1"/>
  <c r="K56" i="1"/>
  <c r="M47" i="6"/>
  <c r="E68" i="6"/>
  <c r="M68" i="6" s="1"/>
  <c r="E43" i="10"/>
  <c r="M43" i="10" s="1"/>
  <c r="K43" i="6"/>
  <c r="E40" i="10"/>
  <c r="L40" i="10" s="1"/>
  <c r="E41" i="14"/>
  <c r="E70" i="14"/>
  <c r="M70" i="14" s="1"/>
  <c r="E91" i="14"/>
  <c r="K91" i="14" s="1"/>
  <c r="K63" i="14"/>
  <c r="K75" i="6"/>
  <c r="K38" i="14"/>
  <c r="E58" i="1"/>
  <c r="M58" i="1" s="1"/>
  <c r="L43" i="6"/>
  <c r="K72" i="14"/>
  <c r="E69" i="6"/>
  <c r="M69" i="6" s="1"/>
  <c r="E39" i="10"/>
  <c r="L39" i="10" s="1"/>
  <c r="E43" i="14"/>
  <c r="E89" i="14"/>
  <c r="E42" i="14"/>
  <c r="E49" i="14" s="1"/>
  <c r="E51" i="14" s="1"/>
  <c r="E53" i="14" s="1"/>
  <c r="L34" i="1"/>
  <c r="K57" i="1"/>
  <c r="E70" i="1"/>
  <c r="L43" i="1"/>
  <c r="E67" i="1"/>
  <c r="L67" i="1" s="1"/>
  <c r="M44" i="14"/>
  <c r="E67" i="6"/>
  <c r="E40" i="14"/>
  <c r="E64" i="14"/>
  <c r="D5" i="12"/>
  <c r="E5" i="12" s="1"/>
  <c r="K64" i="6"/>
  <c r="E75" i="14"/>
  <c r="M75" i="14" s="1"/>
  <c r="AH27" i="1"/>
  <c r="AE6" i="1"/>
  <c r="L95" i="1"/>
  <c r="K47" i="6"/>
  <c r="K59" i="14"/>
  <c r="L92" i="1"/>
  <c r="K65" i="1"/>
  <c r="E36" i="1"/>
  <c r="E91" i="1"/>
  <c r="K91" i="1" s="1"/>
  <c r="L95" i="6"/>
  <c r="K35" i="6"/>
  <c r="K44" i="14"/>
  <c r="E59" i="6"/>
  <c r="M59" i="6" s="1"/>
  <c r="E39" i="14"/>
  <c r="L39" i="14" s="1"/>
  <c r="E65" i="14"/>
  <c r="D4" i="12"/>
  <c r="E4" i="12" s="1"/>
  <c r="AJ27" i="1"/>
  <c r="AG6" i="1"/>
  <c r="J51" i="10"/>
  <c r="J53" i="10" s="1"/>
  <c r="C51" i="10"/>
  <c r="C53" i="10" s="1"/>
  <c r="J21" i="10"/>
  <c r="J23" i="10" s="1"/>
  <c r="I51" i="10"/>
  <c r="K69" i="1"/>
  <c r="L80" i="1"/>
  <c r="M86" i="10"/>
  <c r="K86" i="10"/>
  <c r="L86" i="10"/>
  <c r="L23" i="10"/>
  <c r="D7" i="12"/>
  <c r="E7" i="12" s="1"/>
  <c r="K81" i="1"/>
  <c r="K86" i="1"/>
  <c r="M81" i="1"/>
  <c r="D10" i="2"/>
  <c r="L75" i="14"/>
  <c r="M82" i="1"/>
  <c r="K82" i="1"/>
  <c r="L82" i="1"/>
  <c r="L86" i="1"/>
  <c r="L22" i="10"/>
  <c r="E67" i="14"/>
  <c r="H97" i="1"/>
  <c r="L69" i="1"/>
  <c r="I53" i="10"/>
  <c r="D53" i="10"/>
  <c r="L83" i="1"/>
  <c r="M83" i="1"/>
  <c r="K83" i="1"/>
  <c r="M88" i="10"/>
  <c r="L88" i="10"/>
  <c r="K88" i="10"/>
  <c r="M85" i="10"/>
  <c r="K85" i="10"/>
  <c r="K82" i="10"/>
  <c r="L82" i="10"/>
  <c r="M82" i="10"/>
  <c r="J85" i="14"/>
  <c r="M85" i="14" s="1"/>
  <c r="L85" i="1"/>
  <c r="K87" i="10"/>
  <c r="D6" i="12"/>
  <c r="E6" i="12" s="1"/>
  <c r="E8" i="12" s="1"/>
  <c r="J84" i="10" s="1"/>
  <c r="D7" i="8"/>
  <c r="E7" i="8" s="1"/>
  <c r="D19" i="8"/>
  <c r="E19" i="8" s="1"/>
  <c r="J88" i="6" s="1"/>
  <c r="L88" i="6" s="1"/>
  <c r="D6" i="8"/>
  <c r="E6" i="8" s="1"/>
  <c r="D13" i="8"/>
  <c r="E13" i="8" s="1"/>
  <c r="J81" i="6" s="1"/>
  <c r="J81" i="14" s="1"/>
  <c r="D14" i="8"/>
  <c r="E14" i="8" s="1"/>
  <c r="J82" i="6" s="1"/>
  <c r="J82" i="14" s="1"/>
  <c r="K82" i="14" s="1"/>
  <c r="L81" i="10"/>
  <c r="D4" i="8"/>
  <c r="E4" i="8" s="1"/>
  <c r="D12" i="8"/>
  <c r="E12" i="8" s="1"/>
  <c r="J80" i="6" s="1"/>
  <c r="J80" i="14" s="1"/>
  <c r="M85" i="1"/>
  <c r="D15" i="8"/>
  <c r="E15" i="8" s="1"/>
  <c r="J83" i="6" s="1"/>
  <c r="J83" i="14" s="1"/>
  <c r="D18" i="8"/>
  <c r="E18" i="8" s="1"/>
  <c r="J87" i="6" s="1"/>
  <c r="J87" i="14" s="1"/>
  <c r="M87" i="14" s="1"/>
  <c r="M70" i="10"/>
  <c r="L70" i="10"/>
  <c r="K70" i="10"/>
  <c r="L63" i="1"/>
  <c r="K63" i="1"/>
  <c r="M63" i="1"/>
  <c r="M76" i="6"/>
  <c r="L76" i="6"/>
  <c r="K76" i="6"/>
  <c r="L56" i="1"/>
  <c r="K34" i="1"/>
  <c r="L91" i="1"/>
  <c r="M91" i="1"/>
  <c r="M69" i="1"/>
  <c r="I11" i="4"/>
  <c r="I12" i="4" s="1"/>
  <c r="L38" i="1"/>
  <c r="K43" i="1"/>
  <c r="E37" i="1"/>
  <c r="E59" i="1"/>
  <c r="E61" i="1"/>
  <c r="E93" i="1"/>
  <c r="E62" i="1"/>
  <c r="E44" i="1"/>
  <c r="E89" i="1"/>
  <c r="E75" i="1"/>
  <c r="E60" i="1"/>
  <c r="E39" i="1"/>
  <c r="E33" i="1"/>
  <c r="E41" i="1"/>
  <c r="E32" i="1"/>
  <c r="E72" i="1"/>
  <c r="E74" i="1"/>
  <c r="E40" i="1"/>
  <c r="M95" i="6"/>
  <c r="L38" i="6"/>
  <c r="M41" i="6"/>
  <c r="L70" i="14"/>
  <c r="K45" i="1"/>
  <c r="L45" i="1"/>
  <c r="L68" i="1"/>
  <c r="M68" i="1"/>
  <c r="K68" i="6"/>
  <c r="L59" i="6"/>
  <c r="L46" i="10"/>
  <c r="M46" i="10"/>
  <c r="L33" i="14"/>
  <c r="K45" i="14"/>
  <c r="M45" i="14"/>
  <c r="L87" i="1"/>
  <c r="M87" i="1"/>
  <c r="K58" i="1"/>
  <c r="L58" i="1"/>
  <c r="M62" i="6"/>
  <c r="L62" i="6"/>
  <c r="E58" i="10"/>
  <c r="E61" i="10"/>
  <c r="E32" i="10"/>
  <c r="E38" i="10"/>
  <c r="E44" i="10"/>
  <c r="E59" i="10"/>
  <c r="E56" i="10"/>
  <c r="E57" i="10"/>
  <c r="E65" i="10"/>
  <c r="E62" i="10"/>
  <c r="E35" i="10"/>
  <c r="E42" i="10"/>
  <c r="E90" i="10"/>
  <c r="E95" i="10"/>
  <c r="E36" i="10"/>
  <c r="E45" i="10"/>
  <c r="E69" i="10"/>
  <c r="E60" i="10"/>
  <c r="E92" i="10"/>
  <c r="E89" i="10"/>
  <c r="E33" i="10"/>
  <c r="E41" i="10"/>
  <c r="E74" i="10"/>
  <c r="E75" i="10"/>
  <c r="E93" i="10"/>
  <c r="E73" i="10"/>
  <c r="E37" i="10"/>
  <c r="E68" i="10"/>
  <c r="E72" i="10"/>
  <c r="E66" i="10"/>
  <c r="E34" i="10"/>
  <c r="E47" i="10"/>
  <c r="E64" i="10"/>
  <c r="D13" i="2"/>
  <c r="J78" i="1" s="1"/>
  <c r="L39" i="6"/>
  <c r="M93" i="6"/>
  <c r="K93" i="6"/>
  <c r="D13" i="7"/>
  <c r="J78" i="6" s="1"/>
  <c r="I11" i="9"/>
  <c r="I12" i="9" s="1"/>
  <c r="M95" i="1"/>
  <c r="M73" i="1"/>
  <c r="L90" i="1"/>
  <c r="K38" i="1"/>
  <c r="L66" i="1"/>
  <c r="K73" i="1"/>
  <c r="M67" i="1"/>
  <c r="L46" i="1"/>
  <c r="M46" i="1"/>
  <c r="K47" i="1"/>
  <c r="M70" i="6"/>
  <c r="K70" i="6"/>
  <c r="L70" i="6"/>
  <c r="L93" i="6"/>
  <c r="M63" i="10"/>
  <c r="K63" i="10"/>
  <c r="L63" i="10"/>
  <c r="M39" i="10"/>
  <c r="K39" i="10"/>
  <c r="K39" i="14"/>
  <c r="K66" i="1"/>
  <c r="K90" i="1"/>
  <c r="G11" i="4"/>
  <c r="L47" i="1"/>
  <c r="M38" i="6"/>
  <c r="L69" i="6"/>
  <c r="K69" i="6"/>
  <c r="K57" i="6"/>
  <c r="M57" i="6"/>
  <c r="L66" i="14"/>
  <c r="M66" i="14"/>
  <c r="K66" i="14"/>
  <c r="E35" i="14"/>
  <c r="D49" i="14"/>
  <c r="D51" i="14" s="1"/>
  <c r="D53" i="14" s="1"/>
  <c r="K47" i="14"/>
  <c r="M47" i="14"/>
  <c r="M48" i="14"/>
  <c r="L48" i="14"/>
  <c r="K48" i="14"/>
  <c r="E58" i="14"/>
  <c r="D97" i="14"/>
  <c r="K61" i="14"/>
  <c r="K64" i="14"/>
  <c r="L64" i="14"/>
  <c r="M64" i="14"/>
  <c r="K67" i="14"/>
  <c r="M67" i="14"/>
  <c r="L67" i="14"/>
  <c r="H68" i="14"/>
  <c r="G97" i="14"/>
  <c r="K80" i="1"/>
  <c r="L83" i="10"/>
  <c r="K83" i="10"/>
  <c r="M73" i="14"/>
  <c r="L73" i="14"/>
  <c r="L46" i="14"/>
  <c r="K46" i="14"/>
  <c r="M82" i="6"/>
  <c r="M41" i="14"/>
  <c r="L72" i="14"/>
  <c r="L21" i="6"/>
  <c r="L23" i="6" s="1"/>
  <c r="D51" i="6"/>
  <c r="D53" i="6" s="1"/>
  <c r="J51" i="6"/>
  <c r="J53" i="6" s="1"/>
  <c r="E66" i="6"/>
  <c r="M37" i="14"/>
  <c r="E36" i="6"/>
  <c r="E45" i="6"/>
  <c r="M87" i="10"/>
  <c r="L85" i="10"/>
  <c r="H97" i="6"/>
  <c r="E72" i="6"/>
  <c r="E90" i="14"/>
  <c r="E93" i="14"/>
  <c r="M79" i="14"/>
  <c r="L79" i="14"/>
  <c r="K79" i="14"/>
  <c r="K94" i="14"/>
  <c r="L94" i="14"/>
  <c r="I51" i="6"/>
  <c r="I53" i="6" s="1"/>
  <c r="J21" i="6"/>
  <c r="J23" i="6" s="1"/>
  <c r="L57" i="14"/>
  <c r="K75" i="14"/>
  <c r="J49" i="14"/>
  <c r="J51" i="14" s="1"/>
  <c r="J53" i="14" s="1"/>
  <c r="C97" i="14"/>
  <c r="E56" i="14"/>
  <c r="K62" i="14"/>
  <c r="L62" i="14"/>
  <c r="H69" i="14"/>
  <c r="F97" i="14"/>
  <c r="I97" i="14"/>
  <c r="L85" i="6"/>
  <c r="K85" i="6"/>
  <c r="C51" i="6"/>
  <c r="C53" i="6" s="1"/>
  <c r="E92" i="6"/>
  <c r="E61" i="6"/>
  <c r="E91" i="6"/>
  <c r="E63" i="6"/>
  <c r="E74" i="6"/>
  <c r="E46" i="6"/>
  <c r="E40" i="6"/>
  <c r="E34" i="6"/>
  <c r="E90" i="6"/>
  <c r="E73" i="6"/>
  <c r="E58" i="6"/>
  <c r="E60" i="6"/>
  <c r="E44" i="6"/>
  <c r="E37" i="6"/>
  <c r="L60" i="14"/>
  <c r="M60" i="14"/>
  <c r="C49" i="14"/>
  <c r="C51" i="14" s="1"/>
  <c r="C53" i="14" s="1"/>
  <c r="M80" i="10"/>
  <c r="K80" i="10"/>
  <c r="M88" i="1"/>
  <c r="L34" i="14"/>
  <c r="E33" i="6"/>
  <c r="E42" i="6"/>
  <c r="E56" i="6"/>
  <c r="M65" i="14"/>
  <c r="K21" i="6"/>
  <c r="K23" i="6" s="1"/>
  <c r="E65" i="6"/>
  <c r="E8" i="3"/>
  <c r="J84" i="1" s="1"/>
  <c r="L63" i="14"/>
  <c r="M63" i="14"/>
  <c r="D17" i="8"/>
  <c r="E17" i="8" s="1"/>
  <c r="J86" i="6" s="1"/>
  <c r="J86" i="14" s="1"/>
  <c r="K22" i="10"/>
  <c r="D5" i="8"/>
  <c r="E5" i="8" s="1"/>
  <c r="C12" i="10"/>
  <c r="C12" i="6"/>
  <c r="K74" i="14" l="1"/>
  <c r="K70" i="14"/>
  <c r="K41" i="14"/>
  <c r="L41" i="14"/>
  <c r="K40" i="10"/>
  <c r="AK27" i="1"/>
  <c r="AH6" i="1"/>
  <c r="L65" i="14"/>
  <c r="K65" i="14"/>
  <c r="L89" i="14"/>
  <c r="K89" i="14"/>
  <c r="M89" i="14"/>
  <c r="M67" i="10"/>
  <c r="L67" i="10"/>
  <c r="K67" i="10"/>
  <c r="M43" i="14"/>
  <c r="K43" i="14"/>
  <c r="L43" i="14"/>
  <c r="J76" i="1"/>
  <c r="L76" i="1" s="1"/>
  <c r="K67" i="1"/>
  <c r="M70" i="1"/>
  <c r="K70" i="1"/>
  <c r="M74" i="14"/>
  <c r="L41" i="6"/>
  <c r="K41" i="6"/>
  <c r="L42" i="14"/>
  <c r="M42" i="14"/>
  <c r="L22" i="6"/>
  <c r="M40" i="10"/>
  <c r="K59" i="6"/>
  <c r="M81" i="10"/>
  <c r="K81" i="10"/>
  <c r="M91" i="14"/>
  <c r="J22" i="10"/>
  <c r="J24" i="10" s="1"/>
  <c r="M89" i="6"/>
  <c r="L91" i="10"/>
  <c r="K43" i="10"/>
  <c r="K40" i="14"/>
  <c r="L40" i="14"/>
  <c r="M40" i="14"/>
  <c r="M33" i="14"/>
  <c r="K33" i="14"/>
  <c r="K42" i="14"/>
  <c r="L61" i="14"/>
  <c r="L89" i="6"/>
  <c r="M91" i="10"/>
  <c r="L43" i="10"/>
  <c r="L68" i="6"/>
  <c r="L67" i="6"/>
  <c r="M67" i="6"/>
  <c r="K67" i="6"/>
  <c r="L91" i="14"/>
  <c r="M39" i="14"/>
  <c r="K39" i="6"/>
  <c r="L70" i="1"/>
  <c r="M36" i="1"/>
  <c r="K36" i="1"/>
  <c r="L36" i="1"/>
  <c r="L36" i="14"/>
  <c r="M36" i="14"/>
  <c r="K36" i="14"/>
  <c r="M81" i="6"/>
  <c r="K76" i="1"/>
  <c r="M88" i="6"/>
  <c r="K85" i="14"/>
  <c r="L85" i="14"/>
  <c r="K88" i="6"/>
  <c r="E97" i="1"/>
  <c r="J22" i="6"/>
  <c r="J24" i="6" s="1"/>
  <c r="K22" i="6"/>
  <c r="L24" i="6" s="1"/>
  <c r="L83" i="14"/>
  <c r="M83" i="14"/>
  <c r="K83" i="14"/>
  <c r="L82" i="14"/>
  <c r="M82" i="14"/>
  <c r="J88" i="14"/>
  <c r="M84" i="10"/>
  <c r="K84" i="10"/>
  <c r="J8" i="10" s="1"/>
  <c r="L84" i="10"/>
  <c r="K8" i="10" s="1"/>
  <c r="L8" i="10" s="1"/>
  <c r="J97" i="10"/>
  <c r="K87" i="6"/>
  <c r="L87" i="6"/>
  <c r="M87" i="6"/>
  <c r="E8" i="8"/>
  <c r="J84" i="6" s="1"/>
  <c r="M84" i="6" s="1"/>
  <c r="K83" i="6"/>
  <c r="L83" i="6"/>
  <c r="M83" i="6"/>
  <c r="K82" i="6"/>
  <c r="L82" i="6"/>
  <c r="L81" i="6"/>
  <c r="K81" i="6"/>
  <c r="L80" i="6"/>
  <c r="K80" i="6"/>
  <c r="M80" i="6"/>
  <c r="M86" i="14"/>
  <c r="L86" i="14"/>
  <c r="K86" i="14"/>
  <c r="K34" i="6"/>
  <c r="M34" i="6"/>
  <c r="L34" i="6"/>
  <c r="M93" i="14"/>
  <c r="L93" i="14"/>
  <c r="K93" i="14"/>
  <c r="K56" i="14"/>
  <c r="L56" i="14"/>
  <c r="E97" i="14"/>
  <c r="M56" i="14"/>
  <c r="L90" i="14"/>
  <c r="M90" i="14"/>
  <c r="K90" i="14"/>
  <c r="L45" i="10"/>
  <c r="K45" i="10"/>
  <c r="M45" i="10"/>
  <c r="K62" i="1"/>
  <c r="M62" i="1"/>
  <c r="L62" i="1"/>
  <c r="L58" i="6"/>
  <c r="K58" i="6"/>
  <c r="M58" i="6"/>
  <c r="K73" i="6"/>
  <c r="L73" i="6"/>
  <c r="M73" i="6"/>
  <c r="L63" i="6"/>
  <c r="K63" i="6"/>
  <c r="M63" i="6"/>
  <c r="M69" i="14"/>
  <c r="K69" i="14"/>
  <c r="L69" i="14"/>
  <c r="K66" i="6"/>
  <c r="L66" i="6"/>
  <c r="M66" i="6"/>
  <c r="M56" i="6"/>
  <c r="L56" i="6"/>
  <c r="K56" i="6"/>
  <c r="E97" i="6"/>
  <c r="M90" i="6"/>
  <c r="K90" i="6"/>
  <c r="L90" i="6"/>
  <c r="L91" i="6"/>
  <c r="K91" i="6"/>
  <c r="M91" i="6"/>
  <c r="K78" i="6"/>
  <c r="M78" i="6"/>
  <c r="L78" i="6"/>
  <c r="L66" i="10"/>
  <c r="K66" i="10"/>
  <c r="M66" i="10"/>
  <c r="K75" i="10"/>
  <c r="M75" i="10"/>
  <c r="L75" i="10"/>
  <c r="M60" i="10"/>
  <c r="K60" i="10"/>
  <c r="L60" i="10"/>
  <c r="L42" i="10"/>
  <c r="M42" i="10"/>
  <c r="K42" i="10"/>
  <c r="L59" i="10"/>
  <c r="K59" i="10"/>
  <c r="M59" i="10"/>
  <c r="K87" i="14"/>
  <c r="L87" i="14"/>
  <c r="E49" i="1"/>
  <c r="E51" i="1" s="1"/>
  <c r="E53" i="1" s="1"/>
  <c r="M32" i="1"/>
  <c r="L32" i="1"/>
  <c r="K32" i="1"/>
  <c r="M89" i="1"/>
  <c r="L89" i="1"/>
  <c r="K89" i="1"/>
  <c r="M37" i="1"/>
  <c r="L37" i="1"/>
  <c r="K37" i="1"/>
  <c r="K78" i="1"/>
  <c r="M78" i="1"/>
  <c r="J78" i="14"/>
  <c r="L78" i="1"/>
  <c r="L72" i="10"/>
  <c r="K72" i="10"/>
  <c r="M72" i="10"/>
  <c r="K74" i="10"/>
  <c r="M74" i="10"/>
  <c r="L74" i="10"/>
  <c r="L69" i="10"/>
  <c r="M69" i="10"/>
  <c r="K69" i="10"/>
  <c r="L35" i="10"/>
  <c r="M35" i="10"/>
  <c r="K35" i="10"/>
  <c r="M44" i="10"/>
  <c r="L44" i="10"/>
  <c r="K44" i="10"/>
  <c r="K41" i="1"/>
  <c r="M41" i="1"/>
  <c r="L41" i="1"/>
  <c r="L44" i="1"/>
  <c r="K44" i="1"/>
  <c r="M44" i="1"/>
  <c r="J97" i="1"/>
  <c r="M84" i="1"/>
  <c r="K84" i="1"/>
  <c r="J8" i="1" s="1"/>
  <c r="L84" i="1"/>
  <c r="K8" i="1" s="1"/>
  <c r="L8" i="1" s="1"/>
  <c r="M37" i="6"/>
  <c r="K37" i="6"/>
  <c r="L37" i="6"/>
  <c r="K61" i="6"/>
  <c r="M61" i="6"/>
  <c r="L61" i="6"/>
  <c r="L65" i="6"/>
  <c r="M65" i="6"/>
  <c r="K65" i="6"/>
  <c r="L40" i="6"/>
  <c r="M40" i="6"/>
  <c r="K40" i="6"/>
  <c r="L62" i="10"/>
  <c r="K62" i="10"/>
  <c r="M62" i="10"/>
  <c r="L60" i="6"/>
  <c r="K60" i="6"/>
  <c r="M60" i="6"/>
  <c r="M46" i="6"/>
  <c r="L46" i="6"/>
  <c r="K46" i="6"/>
  <c r="L81" i="14"/>
  <c r="K81" i="14"/>
  <c r="M81" i="14"/>
  <c r="M72" i="6"/>
  <c r="K72" i="6"/>
  <c r="L72" i="6"/>
  <c r="M36" i="6"/>
  <c r="K36" i="6"/>
  <c r="L36" i="6"/>
  <c r="L58" i="14"/>
  <c r="K58" i="14"/>
  <c r="M58" i="14"/>
  <c r="K24" i="6"/>
  <c r="M64" i="10"/>
  <c r="K64" i="10"/>
  <c r="L64" i="10"/>
  <c r="M37" i="10"/>
  <c r="L37" i="10"/>
  <c r="K37" i="10"/>
  <c r="K33" i="10"/>
  <c r="L33" i="10"/>
  <c r="M33" i="10"/>
  <c r="M36" i="10"/>
  <c r="K36" i="10"/>
  <c r="L36" i="10"/>
  <c r="M65" i="10"/>
  <c r="L65" i="10"/>
  <c r="K65" i="10"/>
  <c r="M32" i="10"/>
  <c r="K32" i="10"/>
  <c r="L32" i="10"/>
  <c r="E49" i="10"/>
  <c r="E51" i="10" s="1"/>
  <c r="E53" i="10" s="1"/>
  <c r="K40" i="1"/>
  <c r="M40" i="1"/>
  <c r="L40" i="1"/>
  <c r="K39" i="1"/>
  <c r="L39" i="1"/>
  <c r="M39" i="1"/>
  <c r="L93" i="1"/>
  <c r="K93" i="1"/>
  <c r="M93" i="1"/>
  <c r="L33" i="6"/>
  <c r="M33" i="6"/>
  <c r="K33" i="6"/>
  <c r="K92" i="6"/>
  <c r="L92" i="6"/>
  <c r="M92" i="6"/>
  <c r="L45" i="6"/>
  <c r="K45" i="6"/>
  <c r="M45" i="6"/>
  <c r="K41" i="10"/>
  <c r="M41" i="10"/>
  <c r="L41" i="10"/>
  <c r="M74" i="6"/>
  <c r="K74" i="6"/>
  <c r="L74" i="6"/>
  <c r="E49" i="6"/>
  <c r="E51" i="6" s="1"/>
  <c r="E53" i="6" s="1"/>
  <c r="K68" i="14"/>
  <c r="H97" i="14"/>
  <c r="L68" i="14"/>
  <c r="M68" i="14"/>
  <c r="L35" i="14"/>
  <c r="K35" i="14"/>
  <c r="K49" i="14" s="1"/>
  <c r="M35" i="14"/>
  <c r="L47" i="10"/>
  <c r="K47" i="10"/>
  <c r="M47" i="10"/>
  <c r="K73" i="10"/>
  <c r="M73" i="10"/>
  <c r="L73" i="10"/>
  <c r="L89" i="10"/>
  <c r="K89" i="10"/>
  <c r="M89" i="10"/>
  <c r="M95" i="10"/>
  <c r="K95" i="10"/>
  <c r="L95" i="10"/>
  <c r="L57" i="10"/>
  <c r="K57" i="10"/>
  <c r="M57" i="10"/>
  <c r="L61" i="10"/>
  <c r="M61" i="10"/>
  <c r="K61" i="10"/>
  <c r="K74" i="1"/>
  <c r="M74" i="1"/>
  <c r="L74" i="1"/>
  <c r="K60" i="1"/>
  <c r="M60" i="1"/>
  <c r="L60" i="1"/>
  <c r="M61" i="1"/>
  <c r="L61" i="1"/>
  <c r="K61" i="1"/>
  <c r="M86" i="6"/>
  <c r="K86" i="6"/>
  <c r="L86" i="6"/>
  <c r="K42" i="6"/>
  <c r="L42" i="6"/>
  <c r="M42" i="6"/>
  <c r="L80" i="14"/>
  <c r="K80" i="14"/>
  <c r="M80" i="14"/>
  <c r="M44" i="6"/>
  <c r="L44" i="6"/>
  <c r="K44" i="6"/>
  <c r="K68" i="10"/>
  <c r="M68" i="10"/>
  <c r="L68" i="10"/>
  <c r="L38" i="10"/>
  <c r="K38" i="10"/>
  <c r="M38" i="10"/>
  <c r="M33" i="1"/>
  <c r="L33" i="1"/>
  <c r="K33" i="1"/>
  <c r="L24" i="10"/>
  <c r="K24" i="10"/>
  <c r="M34" i="10"/>
  <c r="K34" i="10"/>
  <c r="L34" i="10"/>
  <c r="K93" i="10"/>
  <c r="L93" i="10"/>
  <c r="M93" i="10"/>
  <c r="M92" i="10"/>
  <c r="L92" i="10"/>
  <c r="K92" i="10"/>
  <c r="M90" i="10"/>
  <c r="K90" i="10"/>
  <c r="L90" i="10"/>
  <c r="K56" i="10"/>
  <c r="M56" i="10"/>
  <c r="E97" i="10"/>
  <c r="L56" i="10"/>
  <c r="K58" i="10"/>
  <c r="L58" i="10"/>
  <c r="M58" i="10"/>
  <c r="M72" i="1"/>
  <c r="K72" i="1"/>
  <c r="L72" i="1"/>
  <c r="K75" i="1"/>
  <c r="L75" i="1"/>
  <c r="M75" i="1"/>
  <c r="K59" i="1"/>
  <c r="L59" i="1"/>
  <c r="M59" i="1"/>
  <c r="M49" i="14" l="1"/>
  <c r="L49" i="14"/>
  <c r="N18" i="1"/>
  <c r="N8" i="1"/>
  <c r="N17" i="1"/>
  <c r="J76" i="14"/>
  <c r="K49" i="10"/>
  <c r="K51" i="10" s="1"/>
  <c r="K53" i="10" s="1"/>
  <c r="M76" i="1"/>
  <c r="M97" i="1" s="1"/>
  <c r="M51" i="14"/>
  <c r="M53" i="14" s="1"/>
  <c r="L21" i="14"/>
  <c r="K51" i="14"/>
  <c r="K53" i="14" s="1"/>
  <c r="J21" i="14"/>
  <c r="L51" i="14"/>
  <c r="L53" i="14" s="1"/>
  <c r="K21" i="14"/>
  <c r="L97" i="10"/>
  <c r="K97" i="1"/>
  <c r="L97" i="1"/>
  <c r="J97" i="6"/>
  <c r="K88" i="14"/>
  <c r="M88" i="14"/>
  <c r="L88" i="14"/>
  <c r="K84" i="6"/>
  <c r="J8" i="6" s="1"/>
  <c r="L84" i="6"/>
  <c r="L97" i="6" s="1"/>
  <c r="J84" i="14"/>
  <c r="J97" i="14" s="1"/>
  <c r="M49" i="10"/>
  <c r="M51" i="10" s="1"/>
  <c r="M53" i="10" s="1"/>
  <c r="L49" i="6"/>
  <c r="L51" i="6" s="1"/>
  <c r="L53" i="6" s="1"/>
  <c r="L49" i="10"/>
  <c r="L51" i="10" s="1"/>
  <c r="L53" i="10" s="1"/>
  <c r="K49" i="1"/>
  <c r="M49" i="1"/>
  <c r="K49" i="6"/>
  <c r="K51" i="6" s="1"/>
  <c r="K53" i="6" s="1"/>
  <c r="L78" i="14"/>
  <c r="K78" i="14"/>
  <c r="M78" i="14"/>
  <c r="L49" i="1"/>
  <c r="M97" i="10"/>
  <c r="K97" i="10"/>
  <c r="K29" i="10" s="1"/>
  <c r="M49" i="6"/>
  <c r="M51" i="6" s="1"/>
  <c r="M53" i="6" s="1"/>
  <c r="M97" i="6"/>
  <c r="K76" i="14" l="1"/>
  <c r="M76" i="14"/>
  <c r="L76" i="14"/>
  <c r="U27" i="1"/>
  <c r="Y27" i="1" s="1"/>
  <c r="AI6" i="1"/>
  <c r="J22" i="14"/>
  <c r="J24" i="14" s="1"/>
  <c r="J23" i="14"/>
  <c r="L51" i="1"/>
  <c r="L53" i="1" s="1"/>
  <c r="L29" i="1" s="1"/>
  <c r="K21" i="1"/>
  <c r="M51" i="1"/>
  <c r="M53" i="1" s="1"/>
  <c r="M29" i="1" s="1"/>
  <c r="L21" i="1"/>
  <c r="K22" i="14"/>
  <c r="K23" i="14"/>
  <c r="L23" i="14"/>
  <c r="L22" i="14"/>
  <c r="K51" i="1"/>
  <c r="K53" i="1" s="1"/>
  <c r="J21" i="1"/>
  <c r="K8" i="6"/>
  <c r="L8" i="6" s="1"/>
  <c r="K84" i="14"/>
  <c r="J8" i="14" s="1"/>
  <c r="L84" i="14"/>
  <c r="K8" i="14" s="1"/>
  <c r="L8" i="14" s="1"/>
  <c r="K97" i="6"/>
  <c r="J7" i="6" s="1"/>
  <c r="M84" i="14"/>
  <c r="M97" i="14" s="1"/>
  <c r="M29" i="14" s="1"/>
  <c r="I116" i="10"/>
  <c r="I114" i="10"/>
  <c r="I117" i="10"/>
  <c r="I115" i="10"/>
  <c r="J6" i="10"/>
  <c r="I118" i="10"/>
  <c r="K29" i="1"/>
  <c r="P28" i="1" s="1"/>
  <c r="J7" i="1"/>
  <c r="K7" i="10"/>
  <c r="L7" i="10" s="1"/>
  <c r="L29" i="10"/>
  <c r="K7" i="6"/>
  <c r="L7" i="6" s="1"/>
  <c r="L29" i="6"/>
  <c r="M29" i="6"/>
  <c r="J7" i="10"/>
  <c r="M29" i="10"/>
  <c r="K7" i="1" l="1"/>
  <c r="L7" i="1"/>
  <c r="Z27" i="1"/>
  <c r="Q28" i="1"/>
  <c r="T27" i="1" s="1"/>
  <c r="W27" i="1"/>
  <c r="Q22" i="1"/>
  <c r="Q21" i="1"/>
  <c r="Q18" i="1"/>
  <c r="Q17" i="1"/>
  <c r="J22" i="1"/>
  <c r="J23" i="1"/>
  <c r="K22" i="1"/>
  <c r="K23" i="1"/>
  <c r="K24" i="14"/>
  <c r="L24" i="14"/>
  <c r="L23" i="1"/>
  <c r="L22" i="1"/>
  <c r="K29" i="6"/>
  <c r="J6" i="6" s="1"/>
  <c r="K97" i="14"/>
  <c r="L97" i="14"/>
  <c r="L29" i="14" s="1"/>
  <c r="K6" i="14" s="1"/>
  <c r="I117" i="1"/>
  <c r="I114" i="1"/>
  <c r="I116" i="1"/>
  <c r="I115" i="1"/>
  <c r="J6" i="1"/>
  <c r="I118" i="1"/>
  <c r="J9" i="10"/>
  <c r="J10" i="10" s="1"/>
  <c r="J116" i="1"/>
  <c r="K116" i="1" s="1"/>
  <c r="J114" i="1"/>
  <c r="K114" i="1" s="1"/>
  <c r="K6" i="1"/>
  <c r="J118" i="1"/>
  <c r="K118" i="1" s="1"/>
  <c r="J115" i="1"/>
  <c r="K115" i="1" s="1"/>
  <c r="J117" i="1"/>
  <c r="K117" i="1" s="1"/>
  <c r="J114" i="10"/>
  <c r="K114" i="10" s="1"/>
  <c r="J117" i="10"/>
  <c r="K117" i="10" s="1"/>
  <c r="J116" i="10"/>
  <c r="K116" i="10" s="1"/>
  <c r="J115" i="10"/>
  <c r="K115" i="10" s="1"/>
  <c r="J118" i="10"/>
  <c r="K118" i="10" s="1"/>
  <c r="K6" i="10"/>
  <c r="J117" i="6"/>
  <c r="K117" i="6" s="1"/>
  <c r="J114" i="6"/>
  <c r="K114" i="6" s="1"/>
  <c r="J118" i="6"/>
  <c r="K118" i="6" s="1"/>
  <c r="J115" i="6"/>
  <c r="K115" i="6" s="1"/>
  <c r="K6" i="6"/>
  <c r="J116" i="6"/>
  <c r="K116" i="6" s="1"/>
  <c r="AD6" i="1" l="1"/>
  <c r="AG27" i="1"/>
  <c r="AC6" i="1"/>
  <c r="AF27" i="1"/>
  <c r="AB6" i="1"/>
  <c r="AE27" i="1"/>
  <c r="Q13" i="1"/>
  <c r="AC27" i="1" s="1"/>
  <c r="AA6" i="1"/>
  <c r="AD27" i="1"/>
  <c r="Q14" i="1"/>
  <c r="Y6" i="1" s="1"/>
  <c r="I116" i="6"/>
  <c r="I114" i="6"/>
  <c r="J115" i="14"/>
  <c r="K115" i="14" s="1"/>
  <c r="J118" i="14"/>
  <c r="K118" i="14" s="1"/>
  <c r="J116" i="14"/>
  <c r="K116" i="14" s="1"/>
  <c r="L24" i="1"/>
  <c r="K24" i="1"/>
  <c r="J24" i="1"/>
  <c r="I118" i="6"/>
  <c r="I115" i="6"/>
  <c r="I117" i="6"/>
  <c r="J117" i="14"/>
  <c r="K117" i="14" s="1"/>
  <c r="J114" i="14"/>
  <c r="K114" i="14" s="1"/>
  <c r="K7" i="14"/>
  <c r="L7" i="14" s="1"/>
  <c r="J7" i="14"/>
  <c r="K29" i="14"/>
  <c r="J11" i="10"/>
  <c r="J14" i="10" s="1"/>
  <c r="J16" i="10" s="1"/>
  <c r="J12" i="10"/>
  <c r="J13" i="10" s="1"/>
  <c r="K9" i="1"/>
  <c r="K10" i="1" s="1"/>
  <c r="L6" i="1"/>
  <c r="J9" i="1"/>
  <c r="J10" i="1" s="1"/>
  <c r="J9" i="6"/>
  <c r="J10" i="6" s="1"/>
  <c r="L6" i="10"/>
  <c r="K9" i="10"/>
  <c r="K10" i="10" s="1"/>
  <c r="K9" i="6"/>
  <c r="K10" i="6" s="1"/>
  <c r="L6" i="6"/>
  <c r="L6" i="14"/>
  <c r="K9" i="14"/>
  <c r="K10" i="14" s="1"/>
  <c r="J15" i="10" l="1"/>
  <c r="Z6" i="1"/>
  <c r="AB27" i="1"/>
  <c r="I116" i="14"/>
  <c r="I115" i="14"/>
  <c r="J6" i="14"/>
  <c r="J9" i="14" s="1"/>
  <c r="J10" i="14" s="1"/>
  <c r="J12" i="14" s="1"/>
  <c r="J13" i="14" s="1"/>
  <c r="I114" i="14"/>
  <c r="I117" i="14"/>
  <c r="I118" i="14"/>
  <c r="K11" i="10"/>
  <c r="K14" i="10" s="1"/>
  <c r="K16" i="10" s="1"/>
  <c r="K12" i="10"/>
  <c r="K13" i="10" s="1"/>
  <c r="K11" i="14"/>
  <c r="K14" i="14" s="1"/>
  <c r="K16" i="14" s="1"/>
  <c r="K12" i="14"/>
  <c r="K13" i="14" s="1"/>
  <c r="J11" i="1"/>
  <c r="I113" i="1" s="1"/>
  <c r="J12" i="1"/>
  <c r="J13" i="1" s="1"/>
  <c r="K11" i="1"/>
  <c r="J113" i="1" s="1"/>
  <c r="K12" i="1"/>
  <c r="K13" i="1" s="1"/>
  <c r="K11" i="6"/>
  <c r="K12" i="6"/>
  <c r="K13" i="6" s="1"/>
  <c r="J11" i="6"/>
  <c r="J14" i="6" s="1"/>
  <c r="J16" i="6" s="1"/>
  <c r="J12" i="6"/>
  <c r="J13" i="6" s="1"/>
  <c r="I113" i="10"/>
  <c r="L9" i="6"/>
  <c r="L10" i="6" s="1"/>
  <c r="L9" i="14"/>
  <c r="L10" i="14" s="1"/>
  <c r="L9" i="10"/>
  <c r="L10" i="10" s="1"/>
  <c r="L9" i="1"/>
  <c r="L10" i="1" s="1"/>
  <c r="J113" i="10" l="1"/>
  <c r="J11" i="14"/>
  <c r="I113" i="14" s="1"/>
  <c r="J113" i="14"/>
  <c r="K14" i="1"/>
  <c r="K16" i="1" s="1"/>
  <c r="K14" i="6"/>
  <c r="K16" i="6" s="1"/>
  <c r="I113" i="6"/>
  <c r="J113" i="6"/>
  <c r="L11" i="1"/>
  <c r="K113" i="1" s="1"/>
  <c r="L12" i="1"/>
  <c r="L13" i="1" s="1"/>
  <c r="L11" i="10"/>
  <c r="K113" i="10" s="1"/>
  <c r="L12" i="10"/>
  <c r="L13" i="10" s="1"/>
  <c r="K15" i="14"/>
  <c r="L11" i="14"/>
  <c r="K113" i="14" s="1"/>
  <c r="L12" i="14"/>
  <c r="L13" i="14" s="1"/>
  <c r="L11" i="6"/>
  <c r="K113" i="6" s="1"/>
  <c r="L12" i="6"/>
  <c r="L13" i="6" s="1"/>
  <c r="J14" i="1"/>
  <c r="J16" i="1" s="1"/>
  <c r="K15" i="10"/>
  <c r="J15" i="6"/>
  <c r="J14" i="14" l="1"/>
  <c r="J16" i="14" s="1"/>
  <c r="L14" i="6"/>
  <c r="L16" i="6" s="1"/>
  <c r="L14" i="1"/>
  <c r="L16" i="1" s="1"/>
  <c r="K15" i="1"/>
  <c r="L14" i="14"/>
  <c r="L16" i="14" s="1"/>
  <c r="L14" i="10"/>
  <c r="L16" i="10" s="1"/>
  <c r="K15" i="6"/>
  <c r="J15" i="1"/>
  <c r="L15" i="6"/>
  <c r="J15" i="14" l="1"/>
  <c r="L15" i="1"/>
  <c r="L15" i="14"/>
  <c r="L15" i="10"/>
</calcChain>
</file>

<file path=xl/sharedStrings.xml><?xml version="1.0" encoding="utf-8"?>
<sst xmlns="http://schemas.openxmlformats.org/spreadsheetml/2006/main" count="1667" uniqueCount="544">
  <si>
    <t>Poste de dépenses</t>
  </si>
  <si>
    <t>Unité</t>
  </si>
  <si>
    <t>Analyse des besoins</t>
  </si>
  <si>
    <t xml:space="preserve">Définition du référentiel d'activités professionnelles </t>
  </si>
  <si>
    <t xml:space="preserve">Définition du référentiel de compétences </t>
  </si>
  <si>
    <t xml:space="preserve">Définition du référentiel de certification </t>
  </si>
  <si>
    <t>Conception du projet pédagogique</t>
  </si>
  <si>
    <t>Elaboration du contenu de la formation</t>
  </si>
  <si>
    <t xml:space="preserve">Conception des supports pédagogiques </t>
  </si>
  <si>
    <t>Rédaction cahier des charges pour sous-traitants</t>
  </si>
  <si>
    <t xml:space="preserve">Sélection et qualification des intervenants </t>
  </si>
  <si>
    <t>Elaboration de la certification</t>
  </si>
  <si>
    <t>Conception</t>
  </si>
  <si>
    <t>Temps passé communication et reporting</t>
  </si>
  <si>
    <t>Réalisation de l'avant-projet / processus offre</t>
  </si>
  <si>
    <t>Sous-total phase de conception</t>
  </si>
  <si>
    <t>Prix de vente CEA</t>
  </si>
  <si>
    <t>Prix de vente hors CEA minimum</t>
  </si>
  <si>
    <t>Rubrique</t>
  </si>
  <si>
    <t>Analyse d'opportunité</t>
  </si>
  <si>
    <t>Paramètres de la fiche de coût :</t>
  </si>
  <si>
    <t>* Taux T1 de la MO INSTN à utiliser également pour MO non permanente (CDD, intérim)</t>
  </si>
  <si>
    <t>Taux T1 CEA A1 2019 (tx provisoire 2019 = tx 2018 x 1,91%)</t>
  </si>
  <si>
    <t>Taux T1 CEA A2 2019 (tx provisoire 2019 = tx 2018 x 1,91%)</t>
  </si>
  <si>
    <r>
      <t xml:space="preserve">INSTN A1*
(taux T1)
</t>
    </r>
    <r>
      <rPr>
        <b/>
        <i/>
        <sz val="11"/>
        <color theme="1"/>
        <rFont val="Calibri"/>
        <family val="2"/>
        <scheme val="minor"/>
      </rPr>
      <t>En heures</t>
    </r>
  </si>
  <si>
    <r>
      <t xml:space="preserve">INSTN A2*
(taux T1)
</t>
    </r>
    <r>
      <rPr>
        <b/>
        <i/>
        <sz val="11"/>
        <color theme="1"/>
        <rFont val="Calibri"/>
        <family val="2"/>
        <scheme val="minor"/>
      </rPr>
      <t>En heures</t>
    </r>
  </si>
  <si>
    <t>Prestations extérieures (consultants) yc déplacements</t>
  </si>
  <si>
    <r>
      <t xml:space="preserve">Montant MO INSTN
(taux T1)
</t>
    </r>
    <r>
      <rPr>
        <b/>
        <i/>
        <sz val="11"/>
        <color theme="1"/>
        <rFont val="Calibri"/>
        <family val="2"/>
        <scheme val="minor"/>
      </rPr>
      <t>En €</t>
    </r>
  </si>
  <si>
    <t>Taux 2018 de TVA non récupérable</t>
  </si>
  <si>
    <r>
      <rPr>
        <b/>
        <sz val="11"/>
        <color theme="1"/>
        <rFont val="Calibri"/>
        <family val="2"/>
        <scheme val="minor"/>
      </rPr>
      <t>Coût environné T3</t>
    </r>
    <r>
      <rPr>
        <sz val="11"/>
        <color theme="1"/>
        <rFont val="Calibri"/>
        <family val="2"/>
        <scheme val="minor"/>
      </rPr>
      <t xml:space="preserve">
(taux T3 + TVA NR)</t>
    </r>
  </si>
  <si>
    <r>
      <rPr>
        <b/>
        <sz val="11"/>
        <color theme="1"/>
        <rFont val="Calibri"/>
        <family val="2"/>
        <scheme val="minor"/>
      </rPr>
      <t>Coût direct T1</t>
    </r>
    <r>
      <rPr>
        <sz val="11"/>
        <color theme="1"/>
        <rFont val="Calibri"/>
        <family val="2"/>
        <scheme val="minor"/>
      </rPr>
      <t xml:space="preserve">
par session FC
(ou promo FD)
(taux T1)</t>
    </r>
  </si>
  <si>
    <t>Sous-total phase de réalisation</t>
  </si>
  <si>
    <t>Pilotage</t>
  </si>
  <si>
    <t>Contribution aux comités (perfectionnement, pédagogie)</t>
  </si>
  <si>
    <t xml:space="preserve">Contribution aux forums et salons </t>
  </si>
  <si>
    <t xml:space="preserve">Réunion de suivi clients </t>
  </si>
  <si>
    <t xml:space="preserve">Suivi de qualification-habilitation des formateurs </t>
  </si>
  <si>
    <t>Contribution aux carrefours pédagogiques annuels</t>
  </si>
  <si>
    <t>Réalisation des immersions sur site</t>
  </si>
  <si>
    <t>Enseignement</t>
  </si>
  <si>
    <t xml:space="preserve">Cours magistraux </t>
  </si>
  <si>
    <t>Animations de TD</t>
  </si>
  <si>
    <t>Animation de TP</t>
  </si>
  <si>
    <t>Réalisation de visites de sites</t>
  </si>
  <si>
    <r>
      <t xml:space="preserve">Autres dépenses HT
</t>
    </r>
    <r>
      <rPr>
        <b/>
        <i/>
        <sz val="11"/>
        <color theme="1"/>
        <rFont val="Calibri"/>
        <family val="2"/>
        <scheme val="minor"/>
      </rPr>
      <t>En €</t>
    </r>
  </si>
  <si>
    <r>
      <t xml:space="preserve">Montant des vacations
</t>
    </r>
    <r>
      <rPr>
        <b/>
        <i/>
        <sz val="11"/>
        <color theme="1"/>
        <rFont val="Calibri"/>
        <family val="2"/>
        <scheme val="minor"/>
      </rPr>
      <t>En €</t>
    </r>
  </si>
  <si>
    <r>
      <t xml:space="preserve">Vacataire non CEA
</t>
    </r>
    <r>
      <rPr>
        <b/>
        <i/>
        <sz val="11"/>
        <color theme="1"/>
        <rFont val="Calibri"/>
        <family val="2"/>
        <scheme val="minor"/>
      </rPr>
      <t>En heures</t>
    </r>
  </si>
  <si>
    <r>
      <t xml:space="preserve">Vacataire CEA
</t>
    </r>
    <r>
      <rPr>
        <b/>
        <i/>
        <sz val="11"/>
        <color theme="1"/>
        <rFont val="Calibri"/>
        <family val="2"/>
        <scheme val="minor"/>
      </rPr>
      <t>En heures</t>
    </r>
  </si>
  <si>
    <t>Vacataire hors CEA cours</t>
  </si>
  <si>
    <t>Vacataire hors CEA TD</t>
  </si>
  <si>
    <t>Vacataire hors CEA TP</t>
  </si>
  <si>
    <t xml:space="preserve">Vacataire CEA cours </t>
  </si>
  <si>
    <t>Vacataire CEA TD</t>
  </si>
  <si>
    <t>Vacataire CEA TP</t>
  </si>
  <si>
    <t>En €</t>
  </si>
  <si>
    <t>Tutorat</t>
  </si>
  <si>
    <t xml:space="preserve">Projet tutoré </t>
  </si>
  <si>
    <t>Suivi des apprentis et des stages</t>
  </si>
  <si>
    <t>Organisation</t>
  </si>
  <si>
    <t>Bilan et cloture d'une session dans IRIS</t>
  </si>
  <si>
    <t>Gestion des intervenants, des inscriptions, etc…</t>
  </si>
  <si>
    <t>jour</t>
  </si>
  <si>
    <t>Chantier école CHE</t>
  </si>
  <si>
    <t>Chantier école MAR</t>
  </si>
  <si>
    <t>Chantier école SAC</t>
  </si>
  <si>
    <t>Radiochimie</t>
  </si>
  <si>
    <t>EVOC</t>
  </si>
  <si>
    <t>Refacturation TP externalisé (hors CEA)</t>
  </si>
  <si>
    <t>Jour</t>
  </si>
  <si>
    <t>Salle de cours 40 personnes</t>
  </si>
  <si>
    <t>Salle de cours 30 personnes</t>
  </si>
  <si>
    <t>Salle de cours 19 personnes</t>
  </si>
  <si>
    <t>Salle informatique 8 PC</t>
  </si>
  <si>
    <t>1/2 jour</t>
  </si>
  <si>
    <t>Salle de cours &lt; 26 places écoles</t>
  </si>
  <si>
    <t>Salle de cours &lt; 50 places écoles</t>
  </si>
  <si>
    <t>Salle de cours de 72 à 80 places écoles</t>
  </si>
  <si>
    <t>Salle Eichner 120 places écoles</t>
  </si>
  <si>
    <t>Salle informatique 9 PC</t>
  </si>
  <si>
    <t>Salle informatique 12 PC</t>
  </si>
  <si>
    <t>Salle informatique 18 PC</t>
  </si>
  <si>
    <t>Salle vidéo 3D de 40 places</t>
  </si>
  <si>
    <t>Forfait Soutenance de Thèse &amp; HDR</t>
  </si>
  <si>
    <t>Amphithéâtre de 310 places</t>
  </si>
  <si>
    <t>Amphithéâtre + Hall 399</t>
  </si>
  <si>
    <t>Amphithéâtre + Exposition</t>
  </si>
  <si>
    <t>Amphithéâtre avec visioconférence</t>
  </si>
  <si>
    <t>Lecteur DVD + moniteur</t>
  </si>
  <si>
    <t>Vidéoprojecteur, écran, PC sup</t>
  </si>
  <si>
    <t>Sonorisation</t>
  </si>
  <si>
    <t>acte</t>
  </si>
  <si>
    <t>Télécopieur</t>
  </si>
  <si>
    <t>ligne</t>
  </si>
  <si>
    <t>Imprimante noir et blanc</t>
  </si>
  <si>
    <t xml:space="preserve">Visio conférence WEBEX </t>
  </si>
  <si>
    <t>Ligne téléphonique</t>
  </si>
  <si>
    <t>Panneaux affichage</t>
  </si>
  <si>
    <t>par 10</t>
  </si>
  <si>
    <t>Disposition tables en U ou  □</t>
  </si>
  <si>
    <t>2 cabines traduction (150 casques)</t>
  </si>
  <si>
    <t>Heure d'assistance diverse</t>
  </si>
  <si>
    <t>8h30-17h</t>
  </si>
  <si>
    <t xml:space="preserve"> (régie, réception colis...)</t>
  </si>
  <si>
    <t>17h-22h</t>
  </si>
  <si>
    <t>Salles UEM</t>
  </si>
  <si>
    <t>Client non CEA</t>
  </si>
  <si>
    <t>1/2 Jour</t>
  </si>
  <si>
    <t>Client CEA
(remise 20%)</t>
  </si>
  <si>
    <t>Salles UES</t>
  </si>
  <si>
    <t xml:space="preserve">        Services complémentaires UES</t>
  </si>
  <si>
    <t>H1</t>
  </si>
  <si>
    <t>H2</t>
  </si>
  <si>
    <t>Salles UEC</t>
  </si>
  <si>
    <t>Autres salles UEC</t>
  </si>
  <si>
    <t>Amphi</t>
  </si>
  <si>
    <t xml:space="preserve">Salle &lt; 26 </t>
  </si>
  <si>
    <t>Salle &lt; 50</t>
  </si>
  <si>
    <t>Salle 50 à 80 cours</t>
  </si>
  <si>
    <t>Salle  &gt; 80</t>
  </si>
  <si>
    <t xml:space="preserve">Salle TP ou informatique </t>
  </si>
  <si>
    <t>Salles - valeurs moyennes</t>
  </si>
  <si>
    <t>Quantité</t>
  </si>
  <si>
    <t>Autre (préciser prix HT)</t>
  </si>
  <si>
    <t>Montant</t>
  </si>
  <si>
    <t>Montant TP reporté sur fiche de coût</t>
  </si>
  <si>
    <t>Montant salles /outils pédagos reporté sur fiche de coût</t>
  </si>
  <si>
    <t>Consommables et achats divers</t>
  </si>
  <si>
    <t>Polycopiés</t>
  </si>
  <si>
    <t>Repas restaurant (participants + 2)</t>
  </si>
  <si>
    <t>Repas Rotonde (participants + 2)</t>
  </si>
  <si>
    <t>Pause café standard</t>
  </si>
  <si>
    <t>Montant repas reporté sur fiche de coût</t>
  </si>
  <si>
    <t>Nombre Participants saisi sur fiche de coût</t>
  </si>
  <si>
    <t>Moyens</t>
  </si>
  <si>
    <r>
      <t xml:space="preserve">TP réacteur, chantier école, labo </t>
    </r>
    <r>
      <rPr>
        <sz val="11"/>
        <color rgb="FFFF0000"/>
        <rFont val="Calibri"/>
        <family val="2"/>
        <scheme val="minor"/>
      </rPr>
      <t>(à saisir dans onglet tarifs instal)</t>
    </r>
  </si>
  <si>
    <r>
      <t xml:space="preserve">Salles et outils pédagogiques </t>
    </r>
    <r>
      <rPr>
        <sz val="11"/>
        <color rgb="FFFF0000"/>
        <rFont val="Calibri"/>
        <family val="2"/>
        <scheme val="minor"/>
      </rPr>
      <t>(à saisir dans onglet tarifs instal)</t>
    </r>
  </si>
  <si>
    <t>Pochettes ou boîtes</t>
  </si>
  <si>
    <t>Polycopiés (100 pages par participant)</t>
  </si>
  <si>
    <t>Montant reporté sur fiche de coût</t>
  </si>
  <si>
    <t xml:space="preserve">Supports de formation (livres, CD, clés USB, tablettes…) </t>
  </si>
  <si>
    <t>Repas et pauses cafés</t>
  </si>
  <si>
    <t>Autre support de formation</t>
  </si>
  <si>
    <r>
      <t xml:space="preserve">Frais variables           </t>
    </r>
    <r>
      <rPr>
        <i/>
        <sz val="11"/>
        <color rgb="FFFF0000"/>
        <rFont val="Calibri"/>
        <family val="2"/>
        <scheme val="minor"/>
      </rPr>
      <t xml:space="preserve">(à saisir dans onglet tarifs frais variables)  </t>
    </r>
  </si>
  <si>
    <t xml:space="preserve">Frais de déplacement </t>
  </si>
  <si>
    <t>km</t>
  </si>
  <si>
    <t xml:space="preserve">Hébergement </t>
  </si>
  <si>
    <t>nuitée</t>
  </si>
  <si>
    <t xml:space="preserve">Restauration soir </t>
  </si>
  <si>
    <t>EUR</t>
  </si>
  <si>
    <t xml:space="preserve">Restauration midi </t>
  </si>
  <si>
    <t>(aide pour le chiffrage : barème CEA)</t>
  </si>
  <si>
    <t>Province</t>
  </si>
  <si>
    <t>Région parisienne</t>
  </si>
  <si>
    <t>Type de frais</t>
  </si>
  <si>
    <t>Montant à reporter sur fiche de coût</t>
  </si>
  <si>
    <t>** Voir aide pour calcul des frais de déplacement sur l'onglet éponyme</t>
  </si>
  <si>
    <t>Participation aux jurys (sélection, soutenance, VAE)</t>
  </si>
  <si>
    <t>Suivi des évaluations fournies par les participants</t>
  </si>
  <si>
    <t>Evaluation des acquis et évaluation à froid</t>
  </si>
  <si>
    <t>Audits CEFRI  - Temps passé</t>
  </si>
  <si>
    <t xml:space="preserve">Audits CEFRI  - Frais d'audit </t>
  </si>
  <si>
    <t xml:space="preserve">Audits exploitants - Temps passé </t>
  </si>
  <si>
    <t xml:space="preserve">Audits exploitants - Frais d'audit </t>
  </si>
  <si>
    <t>Accompagnement pour la VAE</t>
  </si>
  <si>
    <t>Validation / Evaluation / Audits</t>
  </si>
  <si>
    <r>
      <t xml:space="preserve">Frais de déplacement
**
</t>
    </r>
    <r>
      <rPr>
        <b/>
        <sz val="11"/>
        <color theme="1"/>
        <rFont val="Calibri"/>
        <family val="2"/>
        <scheme val="minor"/>
      </rPr>
      <t>En €</t>
    </r>
  </si>
  <si>
    <t>Quote-part annuelle d'amortissement de la phase de conception</t>
  </si>
  <si>
    <t>Phase de conception - (moyens totaux pour toutes les sessions)</t>
  </si>
  <si>
    <t>Phase de réalisation (moyens de réalisation d'une seule session)</t>
  </si>
  <si>
    <t>Nombre de sessions prévues par an</t>
  </si>
  <si>
    <t>Montant de la phase de conception par session</t>
  </si>
  <si>
    <t>Nombre de participants prévu</t>
  </si>
  <si>
    <t>Taux T3 INSTN 2016 Nat 20 (incluant TSS 3,96%)</t>
  </si>
  <si>
    <t>Taux T3 INSTN 2016 Nat10 (incluant IDR 1,76% et TSS 3,96%)</t>
  </si>
  <si>
    <t>Coût total de la session / promo hors aléas (quote-part phase de conception + phase de réalisation)</t>
  </si>
  <si>
    <t>Code IRIS de la formation (si existant, sinon ne rien indiquer)</t>
  </si>
  <si>
    <t>Type de formation (menu déroulant)</t>
  </si>
  <si>
    <t>Unité INSTN (menu déroulant)***</t>
  </si>
  <si>
    <t>*** si plusieurs unités, saisir une fiche de coût par unité et voir vision complète sur feuille "fiche de coût conso"</t>
  </si>
  <si>
    <t>Choisir Unité</t>
  </si>
  <si>
    <t>Date de création de la formation (JJ/MM/AAAA)</t>
  </si>
  <si>
    <t>Aléas 10%</t>
  </si>
  <si>
    <t>Nombre de participants minimum</t>
  </si>
  <si>
    <t>Dont part variable</t>
  </si>
  <si>
    <t>Dont part fixe</t>
  </si>
  <si>
    <t>CA pour nombre participants minimum</t>
  </si>
  <si>
    <t>Coût T1 pour participants minimum</t>
  </si>
  <si>
    <t>Taux de marge pour prix de vente hors CEA préconisé</t>
  </si>
  <si>
    <t>Taux T2 = coût interne département INSTN (estimation sur réalisé 2017)</t>
  </si>
  <si>
    <r>
      <rPr>
        <b/>
        <i/>
        <sz val="11"/>
        <color theme="1"/>
        <rFont val="Calibri"/>
        <family val="2"/>
        <scheme val="minor"/>
      </rPr>
      <t>Coût environné T2</t>
    </r>
    <r>
      <rPr>
        <i/>
        <sz val="11"/>
        <color theme="1"/>
        <rFont val="Calibri"/>
        <family val="2"/>
        <scheme val="minor"/>
      </rPr>
      <t xml:space="preserve">
(T1 + CID INSTN)</t>
    </r>
  </si>
  <si>
    <t>A saisir</t>
  </si>
  <si>
    <t>Durée de la session en jours (pour formation continue)</t>
  </si>
  <si>
    <t>Nom du responsable pédagogique</t>
  </si>
  <si>
    <t>Prestations extérieures (consultants, ANDRA...)</t>
  </si>
  <si>
    <t>Etranger</t>
  </si>
  <si>
    <t>modifier si nécessaire</t>
  </si>
  <si>
    <t>Durée d'amortissement de la phase de conception en années (durée recommandée : 3 ans pour FC INTER, 1 an pour FC INTRA, 5 ans pour FD ou certification, 0 pour exclusion de la conception du calcul du tarif par participant)</t>
  </si>
  <si>
    <t>Libellé de la formation ou de la prestation</t>
  </si>
  <si>
    <t>Autre support de formation(préciser prix HT)</t>
  </si>
  <si>
    <t>Libellé libre phase de conception à saisir si besoin</t>
  </si>
  <si>
    <t>Libellé libre frais variable à saisir si besoin (onglet frais var)</t>
  </si>
  <si>
    <t>Saisie libre</t>
  </si>
  <si>
    <t>Libellé libre phase de réalisation à saisir si besoin</t>
  </si>
  <si>
    <t>Coût complet CEA</t>
  </si>
  <si>
    <t>Coût direct INSTN</t>
  </si>
  <si>
    <t>Coût complet INSTN pour information</t>
  </si>
  <si>
    <t>Prix de vente définitif client CEA fixé</t>
  </si>
  <si>
    <r>
      <t xml:space="preserve">Supports de formation (livres, CD, clés USB, tablettes…) 
</t>
    </r>
    <r>
      <rPr>
        <i/>
        <sz val="11"/>
        <color rgb="FFFF0000"/>
        <rFont val="Calibri"/>
        <family val="2"/>
        <scheme val="minor"/>
      </rPr>
      <t>(prix unitaire à corriger si besoin)</t>
    </r>
  </si>
  <si>
    <t>Montant total de conception à facturer</t>
  </si>
  <si>
    <t>Soit montant de conception par jour</t>
  </si>
  <si>
    <t>Soit montant de conception par participant</t>
  </si>
  <si>
    <t>Soit conception par jour et par participant</t>
  </si>
  <si>
    <t>En cas d'exclusion du coût de conception des chiffrages ci-dessus (ie. si durée amo conception choisie = 0) :</t>
  </si>
  <si>
    <t>Coût des installations</t>
  </si>
  <si>
    <t>TP - Coût par jour</t>
  </si>
  <si>
    <t>Coût HT</t>
  </si>
  <si>
    <t>Autre (préciser Coût HT)</t>
  </si>
  <si>
    <t xml:space="preserve">Coût </t>
  </si>
  <si>
    <t>Salle vidée de son mobilier  (indiquer dans "Coût" le montant du devis)</t>
  </si>
  <si>
    <t>Année du chiffrage</t>
  </si>
  <si>
    <t>Prix de vente définitif client externe fixé</t>
  </si>
  <si>
    <t>En € courants</t>
  </si>
  <si>
    <t>Coefficient de dérive annuelle des coûts de réalisation</t>
  </si>
  <si>
    <t>Réingénierie ou révision de la conception</t>
  </si>
  <si>
    <t>PROGRAMME</t>
  </si>
  <si>
    <t>PROJET OU PROGRAMME</t>
  </si>
  <si>
    <t>ORDRE STAT</t>
  </si>
  <si>
    <t>THEME (FC) OU LIBELLE FORMATION (FD)</t>
  </si>
  <si>
    <t>FC/FD</t>
  </si>
  <si>
    <t>INGÉNIERIE NUCLÉAIRE</t>
  </si>
  <si>
    <t>01 - Génie des réacteurs nucléaires</t>
  </si>
  <si>
    <t>ING - Ingénieur spécialisé en Génie atomique (GA)</t>
  </si>
  <si>
    <t>Réacteurs nucléaires</t>
  </si>
  <si>
    <t>FC</t>
  </si>
  <si>
    <t>Filière réacteurs à eau sous pression (REP)</t>
  </si>
  <si>
    <t>02 - Réacteurs de 4e génération</t>
  </si>
  <si>
    <t>M2 - Génie des procédés appliqués au nucléaire (GPN)</t>
  </si>
  <si>
    <t>École du sodium et des métaux liquides - Assainissement et démantèlement</t>
  </si>
  <si>
    <t>École du sodium et des métaux liquides - Exploitation</t>
  </si>
  <si>
    <t>Systèmes du futur</t>
  </si>
  <si>
    <t>03 - Combustible nucléaire et génie des procédés</t>
  </si>
  <si>
    <t>Cycle du combustible</t>
  </si>
  <si>
    <t>M2 - Chimie séparative, matériaux et procédés : applications au cycle du combustible nucléaire (CSMP)</t>
  </si>
  <si>
    <t>LP - Métrologie chimique et nucléaire (MCN)</t>
  </si>
  <si>
    <t>M2 – Master Nuclear Energy MNE (NRPE + DWM + FC + NPD + O + M1)</t>
  </si>
  <si>
    <t>M2 - Procédés, énergie, environnement (PEE)</t>
  </si>
  <si>
    <t>Surveillance des installations nucléaires et de l'environnement</t>
  </si>
  <si>
    <t>04 - Assainissement, démantèlement et gestion des déchets</t>
  </si>
  <si>
    <t>Assainissement</t>
  </si>
  <si>
    <t>Démantèlement</t>
  </si>
  <si>
    <t>LP - Métiers du DEM, du désamiantage, de la dépollution des déchets (L3D)</t>
  </si>
  <si>
    <t>Gestion des déchets</t>
  </si>
  <si>
    <t>05 - Réacteurs de recherche et instrumentation</t>
  </si>
  <si>
    <t>Détection et mesures</t>
  </si>
  <si>
    <t>M2 - Instrumentation des moyens d'essai (IME)</t>
  </si>
  <si>
    <t>LP - Techniques physiques des énergies (TPE)</t>
  </si>
  <si>
    <t>Réacteurs expérimentaux</t>
  </si>
  <si>
    <t>Statistiques appliquées aux mesures</t>
  </si>
  <si>
    <t>06 - Exploitation, sûreté et maintenance des installations nucléaires</t>
  </si>
  <si>
    <t>Exploitation et maintenance nucléaire</t>
  </si>
  <si>
    <t>ING - Ingénieur en Génie des installations nucléaires (GIN)</t>
  </si>
  <si>
    <t>Formations communes aux intervenants du nucléaire</t>
  </si>
  <si>
    <t>Gestion des matières nucléaires</t>
  </si>
  <si>
    <t>Impacts environnementaux des activités industrielles</t>
  </si>
  <si>
    <t>Prévention des risques</t>
  </si>
  <si>
    <t>Professionnels de la sûreté nucléaire</t>
  </si>
  <si>
    <t>Équipements de protection individuelle</t>
  </si>
  <si>
    <t>Sécurité conventionnelle dans les installations nucléaires</t>
  </si>
  <si>
    <t>Sûreté des personnels des installations nucléaires</t>
  </si>
  <si>
    <t>07 - Plasmas - Fusion</t>
  </si>
  <si>
    <t>M2 – FedSPF (SFP + GI + PPF)</t>
  </si>
  <si>
    <t>Cours IFCEN</t>
  </si>
  <si>
    <t>M2 - Pro Ingénierie pour le nucléaire de Sorbonne Université</t>
  </si>
  <si>
    <t>M2 - Ingénierie nucléaire de Valence (ADIN + GEDERA + SN)</t>
  </si>
  <si>
    <t>APPLICATIONS NUCLÉAIRES POUR LA SANTÉ</t>
  </si>
  <si>
    <t>08 - Plateformes pour les technologies de la santé</t>
  </si>
  <si>
    <t>Applications cliniques de l'imagerie</t>
  </si>
  <si>
    <t>DESC de radiopharmacie et de radiobiologie</t>
  </si>
  <si>
    <t>Diplôme d'études spécialisées en médecine nucléaire (DESMN)</t>
  </si>
  <si>
    <t>Diplôme de qualification en physique radiologique et médicale (DQPRM)</t>
  </si>
  <si>
    <t>M2 - Radiophysique médicale (RM)</t>
  </si>
  <si>
    <t>Radiopharmacie</t>
  </si>
  <si>
    <t>Radiothérapie</t>
  </si>
  <si>
    <t>09 - Imagerie du vivant - Biologie</t>
  </si>
  <si>
    <t>M2 - Ingénierie et chimie des biomolécules (ICBM)</t>
  </si>
  <si>
    <t>M2 - Imagerie biomédicale (IM)</t>
  </si>
  <si>
    <t>Imagerie biomédicale</t>
  </si>
  <si>
    <t>ÉNERGIES NON NUCLÉAIRES DÉCARBONÉES</t>
  </si>
  <si>
    <t>10 - Filières énergétiques</t>
  </si>
  <si>
    <t>M2 - Droit des énergies</t>
  </si>
  <si>
    <t>M2 - Économie de l'énergie</t>
  </si>
  <si>
    <t>M2 - Management de l'assainissement nucléaire et de la valorisation des sites industriels</t>
  </si>
  <si>
    <t>Management de projets énergétiques bas carbone</t>
  </si>
  <si>
    <t>Nouvelles technologies de l'énergie et stockage</t>
  </si>
  <si>
    <t>Technico-économie des systèmes énergétiques</t>
  </si>
  <si>
    <t>11 - Radiobiologie et radioprotection</t>
  </si>
  <si>
    <t>CAMARI</t>
  </si>
  <si>
    <t>LP – Métiers de l’industrie – Gestion de la production industrielle - Parcours maintenance en milieu nucléaire –Parcours agedden (AGEDDEN)</t>
  </si>
  <si>
    <t>BTS - Contrôle des rayonnements ionisants et application des techniques de radioprotection (CRIATP)</t>
  </si>
  <si>
    <t>M2 - Radioprotection - European master in radiation protection (EMRP)</t>
  </si>
  <si>
    <t>Titre de technicien en radiprotection (TTR)</t>
  </si>
  <si>
    <t>Fondamentaux de la radioprotection</t>
  </si>
  <si>
    <t>PCR</t>
  </si>
  <si>
    <t>Professionnels de la radioprotection</t>
  </si>
  <si>
    <t>Radioprotection des personnels</t>
  </si>
  <si>
    <t>Transport de matières radioactives</t>
  </si>
  <si>
    <t>12 - Simulation numérique</t>
  </si>
  <si>
    <t>M2 - Analyse, modélisation, simulation (AMS)</t>
  </si>
  <si>
    <t>M2 - Calcul haute performance, simulation (CHPS)</t>
  </si>
  <si>
    <t>M2 - Noyaux, particules, astroparticules et cosmologie (NPAC)</t>
  </si>
  <si>
    <t>Outils numériques de modélisation</t>
  </si>
  <si>
    <t>13 - Micro et nanotechnologies</t>
  </si>
  <si>
    <t>Environnement de travail</t>
  </si>
  <si>
    <t>M2 - Conception, modélisation et architecture des systèmes industriels complexes (COMASIC)</t>
  </si>
  <si>
    <t>M2 – Parcours Master Nano (NanoB + NanoC + NanoP)</t>
  </si>
  <si>
    <t>M2 - Systèmes embarqués et traitement de l'information (SETI)</t>
  </si>
  <si>
    <t>Intégration : du matériau à l'objet</t>
  </si>
  <si>
    <t>Technologies et applications</t>
  </si>
  <si>
    <t>14 - Matériaux</t>
  </si>
  <si>
    <t>Caractérisation des matériaux</t>
  </si>
  <si>
    <t>Fabrication additive</t>
  </si>
  <si>
    <t>M2 - Science et génie des matériaux (SGM) : parcours "Materials Science for nuclear energy (MaNuEn)</t>
  </si>
  <si>
    <t>M2 - Matériaux avancés pour l'innovation (MAvInov)</t>
  </si>
  <si>
    <t>M2 - Matériaux pour l'énergie et les transports (MET)</t>
  </si>
  <si>
    <t>ING - Ingénieur en Sciences et technologies nucléaires (STN)</t>
  </si>
  <si>
    <t>Matériaux pour les nouvelles technologies de l'énergie</t>
  </si>
  <si>
    <t>Matériaux pour le nucléaire</t>
  </si>
  <si>
    <t>PROJETS TRANSVERSAUX</t>
  </si>
  <si>
    <t>20 - Emplois scientifiques et formation par la recherche</t>
  </si>
  <si>
    <t>Formation continue - Emplois scientifiques et formation par la recherche</t>
  </si>
  <si>
    <t>21 – Support aux formations</t>
  </si>
  <si>
    <t>Formation continue – Support aux formations</t>
  </si>
  <si>
    <t>P4 - Programmes transversaux</t>
  </si>
  <si>
    <t>M2 - Management de la technologie et de l'innovation (MTI)</t>
  </si>
  <si>
    <t>FD</t>
  </si>
  <si>
    <t>Couleurs</t>
  </si>
  <si>
    <t>xxxxx</t>
  </si>
  <si>
    <t>Inexistant : OS à créer</t>
  </si>
  <si>
    <t>Numéro de programme ou projet INSTN (lien auto si OS renseigné)</t>
  </si>
  <si>
    <t>OS spécifique existant : à saisir</t>
  </si>
  <si>
    <t>Choisir OS</t>
  </si>
  <si>
    <t>cf. onglet "table OS"</t>
  </si>
  <si>
    <t>Code OS de la formation (menu déroulant lié à onglet "table OS")</t>
  </si>
  <si>
    <t>Attention : montants qui ne remontent pas dans la fiche de coût (simple aide à la saisie)</t>
  </si>
  <si>
    <t>Nom du responsable pédagogique (à modifier si besoin)</t>
  </si>
  <si>
    <t>Numéro de programme ou projet INSTN (cf. onglet "table OS")</t>
  </si>
  <si>
    <t>Code OS de la formation (cf. onglet "table OS")</t>
  </si>
  <si>
    <t>Partenaire 1</t>
  </si>
  <si>
    <t>Partenaire 2</t>
  </si>
  <si>
    <t>Consolidation Unité Pilote + Partenaire 1 + Partenaire 2</t>
  </si>
  <si>
    <t>Saisir différentes unités concernées</t>
  </si>
  <si>
    <t>Unités INSTN***</t>
  </si>
  <si>
    <r>
      <t xml:space="preserve">onglet vert (consolidation) --&gt; </t>
    </r>
    <r>
      <rPr>
        <b/>
        <sz val="11"/>
        <color theme="1"/>
        <rFont val="Calibri"/>
        <family val="2"/>
        <scheme val="minor"/>
      </rPr>
      <t>fiche de coût référence pour les formations "multi-unités" donnant les coûts et tarifs de la formation / prestation</t>
    </r>
  </si>
  <si>
    <t>onglets roses (partenaire1) --&gt; à n'utiliser que pour les formations/prestations impliquant au moins deux unités</t>
  </si>
  <si>
    <t>onglets orange (partenaire2) --&gt; à n'utiliser que pour les formations/prestations impliquant trois unités</t>
  </si>
  <si>
    <t>MODE D'EMPLOI DE LA FICHE DE COÛT INSTN</t>
  </si>
  <si>
    <t>onglets sans couleurs : mode d'emploi + table de référence des programmes/projets/OS/thèmes FC ou libellés FD</t>
  </si>
  <si>
    <t xml:space="preserve"> [saisi sur fiche unité pilote]</t>
  </si>
  <si>
    <t>Code couleurs de la fiche  de coûts :</t>
  </si>
  <si>
    <t>Code couleurs des onglets :</t>
  </si>
  <si>
    <t>cellule orange --&gt; calculée automatiquement</t>
  </si>
  <si>
    <t>cellule sans couleur --&gt; saisie possible</t>
  </si>
  <si>
    <t>cellule grise  --&gt; ne pas utiliser</t>
  </si>
  <si>
    <t>Grande zones de la fiche de coûts</t>
  </si>
  <si>
    <t>En haut à droite : calcul automatique des informations "vente"</t>
  </si>
  <si>
    <t>Au milieu en  haut : calcul des coûts de conception</t>
  </si>
  <si>
    <t>Au milieu en  bas : calcul des coûts de réalisation</t>
  </si>
  <si>
    <t>En bas à gauche : paramètres techniques de la fiche de coût (exclus de la zone d'impression par défaut)</t>
  </si>
  <si>
    <t>En bas à droite : calcul des tarifs pluriannuels (exclus de la zone d'impression par défaut)</t>
  </si>
  <si>
    <t>En haut à gauche : paramètres généraux de la fiche</t>
  </si>
  <si>
    <t>Onglets annexes de la fiche de coûts</t>
  </si>
  <si>
    <t>Coûts frais variables</t>
  </si>
  <si>
    <t>Coûts frais de déplacement</t>
  </si>
  <si>
    <t>Coût</t>
  </si>
  <si>
    <t>Coût unitaire HT</t>
  </si>
  <si>
    <t>Repas - coût unitaire</t>
  </si>
  <si>
    <t>Supports de formation - coût unitaire</t>
  </si>
  <si>
    <t>Coûts installations --&gt; à utiliser pour faire remonter ces coûts dans la fiche de coûts</t>
  </si>
  <si>
    <t>Coûts frais variables --&gt; à utiliser pour faire remonter ces coûts dans la fiche de coûts</t>
  </si>
  <si>
    <r>
      <t xml:space="preserve">Coûts frais déplacements  --&gt; </t>
    </r>
    <r>
      <rPr>
        <sz val="11"/>
        <color rgb="FFFF0000"/>
        <rFont val="Calibri"/>
        <family val="2"/>
        <scheme val="minor"/>
      </rPr>
      <t>aide au chiffrage : attention les montants ne remontent pas automatiquement</t>
    </r>
    <r>
      <rPr>
        <sz val="11"/>
        <color theme="1"/>
        <rFont val="Calibri"/>
        <family val="2"/>
        <scheme val="minor"/>
      </rPr>
      <t xml:space="preserve"> et sont à ressaisir dans la fiche de coûts</t>
    </r>
  </si>
  <si>
    <t>Libellé libre à modifier manuellement si utilisé sur fiches liées</t>
  </si>
  <si>
    <t>LOCTHREACNUC</t>
  </si>
  <si>
    <t>LOCTHREACREP</t>
  </si>
  <si>
    <t>LOCTHSODASDM</t>
  </si>
  <si>
    <t>LOCTHSODEXPL</t>
  </si>
  <si>
    <t>LOCTHSYSTFUT</t>
  </si>
  <si>
    <t>LOCTHCYCOMBU</t>
  </si>
  <si>
    <t>LOCTHSURVINE</t>
  </si>
  <si>
    <t>LOCTHASSAINT</t>
  </si>
  <si>
    <t>LOCTHDEMANTT</t>
  </si>
  <si>
    <t>LOCTHGESDECH</t>
  </si>
  <si>
    <t>LOCTHDETECME</t>
  </si>
  <si>
    <t>LOCTHREACEXP</t>
  </si>
  <si>
    <t>LOCTHSTATMES</t>
  </si>
  <si>
    <t>LOCTHEXPMAIN</t>
  </si>
  <si>
    <t>LOCTHFORMCOM</t>
  </si>
  <si>
    <t>LOCTHGESTIMN</t>
  </si>
  <si>
    <t>LOCTHIMPACTS</t>
  </si>
  <si>
    <t>LOCTHPREVRIS</t>
  </si>
  <si>
    <t>LOCTHPROSURN</t>
  </si>
  <si>
    <t>LOCTHPROTECI</t>
  </si>
  <si>
    <t>LOCTHSECCONV</t>
  </si>
  <si>
    <t>LOCTHSURPEIN</t>
  </si>
  <si>
    <t>LOCTHAPPCLIN</t>
  </si>
  <si>
    <t>LOCTHRADIOPH</t>
  </si>
  <si>
    <t>LOCTHRADIOTH</t>
  </si>
  <si>
    <t>LOCTHIMAGBIO</t>
  </si>
  <si>
    <t>LOCTHMGTPROJ</t>
  </si>
  <si>
    <t>LOCTHNTESTOC</t>
  </si>
  <si>
    <t>LOCTHTECHECO</t>
  </si>
  <si>
    <t>LOCTHCAMARIX</t>
  </si>
  <si>
    <t>LOCTHFORMPCR</t>
  </si>
  <si>
    <t>LOCTHPRORADI</t>
  </si>
  <si>
    <t>LOCTHRADPERS</t>
  </si>
  <si>
    <t>LOCTHTRANSPO</t>
  </si>
  <si>
    <t>LOCTHOUTINUM</t>
  </si>
  <si>
    <t>LOCTHENVTRAV</t>
  </si>
  <si>
    <t>LOCTHINTEGRA</t>
  </si>
  <si>
    <t>LOCTHTECHAPP</t>
  </si>
  <si>
    <t>LOCTHCARAMAT</t>
  </si>
  <si>
    <t>LOCTHFABRADD</t>
  </si>
  <si>
    <t>LOCTHMATXNTE</t>
  </si>
  <si>
    <t>LOCTHMATXNUC</t>
  </si>
  <si>
    <t>LOCTHFCSFRES</t>
  </si>
  <si>
    <t>LOCTHSUPFORM</t>
  </si>
  <si>
    <t>LOCFORMDGAXX</t>
  </si>
  <si>
    <t>LOCFORMDGPNX</t>
  </si>
  <si>
    <t>LOCFORMDCSMP</t>
  </si>
  <si>
    <t>LOCFORMDMCNX</t>
  </si>
  <si>
    <t>LOCFORMDMNEX</t>
  </si>
  <si>
    <t>LOCFORMDPEEX</t>
  </si>
  <si>
    <t>LOCFORMDL3DX</t>
  </si>
  <si>
    <t>LOCFORMDIMEX</t>
  </si>
  <si>
    <t>LOCFORMDTPEX</t>
  </si>
  <si>
    <t>LOCFORMDGINX</t>
  </si>
  <si>
    <t>LOCFORMDSPFX</t>
  </si>
  <si>
    <t>LOCFORMDIFCE</t>
  </si>
  <si>
    <t>LOCFORMDINSU</t>
  </si>
  <si>
    <t>LOCFORMDVALE</t>
  </si>
  <si>
    <t>LOCFORMDDESC</t>
  </si>
  <si>
    <t>LOCFORMDESMN</t>
  </si>
  <si>
    <t>LOCFORMDQPRM</t>
  </si>
  <si>
    <t>LOCFORMDRMXX</t>
  </si>
  <si>
    <t>LOCFORMDICBM</t>
  </si>
  <si>
    <t>LOCFORMDIMXX</t>
  </si>
  <si>
    <t>LOCFORMDDEXX</t>
  </si>
  <si>
    <t>LOCFORMDMANV</t>
  </si>
  <si>
    <t>LOCFORMDAGED</t>
  </si>
  <si>
    <t>LOCFORMDCRIA</t>
  </si>
  <si>
    <t>LOCFORMDEMRP</t>
  </si>
  <si>
    <t>LOCFORMDTTRX</t>
  </si>
  <si>
    <t>LOCTHFDTXRAD</t>
  </si>
  <si>
    <t>LOCFORMDAMSX</t>
  </si>
  <si>
    <t>LOCFORMDCHPS</t>
  </si>
  <si>
    <t>LOCFORMDNPAC</t>
  </si>
  <si>
    <t>LOCFORMDCOMA</t>
  </si>
  <si>
    <t>LOCFORMDNANO</t>
  </si>
  <si>
    <t>LOCFORMDSETI</t>
  </si>
  <si>
    <t>LOCFORMDMANU</t>
  </si>
  <si>
    <t>LOCFORMDMAVI</t>
  </si>
  <si>
    <t>LOCFORMDMETX</t>
  </si>
  <si>
    <t>LOCFORMDSTNX</t>
  </si>
  <si>
    <t>LOCFORMDMTIX</t>
  </si>
  <si>
    <r>
      <t xml:space="preserve">onglets bleus : </t>
    </r>
    <r>
      <rPr>
        <b/>
        <i/>
        <sz val="11"/>
        <color rgb="FFFF0000"/>
        <rFont val="Calibri"/>
        <family val="2"/>
        <scheme val="minor"/>
      </rPr>
      <t>fiche de coût référence</t>
    </r>
    <r>
      <rPr>
        <b/>
        <i/>
        <sz val="11"/>
        <color theme="1"/>
        <rFont val="Calibri"/>
        <family val="2"/>
        <scheme val="minor"/>
      </rPr>
      <t xml:space="preserve"> pour les formations/prestations "mono-unité"</t>
    </r>
    <r>
      <rPr>
        <i/>
        <sz val="11"/>
        <color theme="1"/>
        <rFont val="Calibri"/>
        <family val="2"/>
        <scheme val="minor"/>
      </rPr>
      <t xml:space="preserve"> et fiche de coût pour l'unité "pilote" si formation/prestation "multi-unités"</t>
    </r>
  </si>
  <si>
    <t>*** si plusieurs unités, saisir cette fiche de coût pour unité pilote + fiche(s) de coûts unité(s) partenaire(s) et voir vision complète sur feuille "fiche de coût conso"</t>
  </si>
  <si>
    <t>(part du prix de vente partenaire 1)</t>
  </si>
  <si>
    <t>(part du prix de vente partenaire 2)</t>
  </si>
  <si>
    <t>Dont partenaires 1+2 :</t>
  </si>
  <si>
    <t>*** fiche de coût part. 1 à utiliser uniquement en cas de prestation multi-unités --&gt; vision complète sur "fiche de coût conso"</t>
  </si>
  <si>
    <t>*** fiche de coût part. 2 à utiliser uniquement en cas de prestation multi-unités --&gt; vision complète sur "fiche de coût conso"</t>
  </si>
  <si>
    <t>LOCFORMDECEX</t>
  </si>
  <si>
    <t>Taux de marge de 10% à</t>
  </si>
  <si>
    <t>Nombre de pauses par participant sur l'ensemble de la formation</t>
  </si>
  <si>
    <t>Nombre de supports ou de matériel par participant</t>
  </si>
  <si>
    <t>Coût par session / prestation hors aléas</t>
  </si>
  <si>
    <t>Coût par session avec aléas</t>
  </si>
  <si>
    <t>Coût par participant</t>
  </si>
  <si>
    <t>Coût par jour</t>
  </si>
  <si>
    <t>Coût par jour et par participant</t>
  </si>
  <si>
    <t>Autre support de formation (préciser prix HT)</t>
  </si>
  <si>
    <t>Projet 01</t>
  </si>
  <si>
    <t>Projet 02</t>
  </si>
  <si>
    <t>Projet 03</t>
  </si>
  <si>
    <t>Projet 04</t>
  </si>
  <si>
    <t>Projet 05</t>
  </si>
  <si>
    <t>Projet 06</t>
  </si>
  <si>
    <t>Projet 07</t>
  </si>
  <si>
    <t>Projet 08</t>
  </si>
  <si>
    <t>Projet 09</t>
  </si>
  <si>
    <t>Projet 10</t>
  </si>
  <si>
    <t>Projet 11</t>
  </si>
  <si>
    <t>Projet 12</t>
  </si>
  <si>
    <t>Projet 13</t>
  </si>
  <si>
    <t>Projet 14</t>
  </si>
  <si>
    <t>Projet 20</t>
  </si>
  <si>
    <t>Projet 21</t>
  </si>
  <si>
    <t>Program 01</t>
  </si>
  <si>
    <t>Program 04</t>
  </si>
  <si>
    <t>Fiche de coûts INSTN - V1.4 du 25/01/2019</t>
  </si>
  <si>
    <t>FC INTER</t>
  </si>
  <si>
    <t>UEM</t>
  </si>
  <si>
    <t>J.VIDECOQ</t>
  </si>
  <si>
    <t>remise 10%</t>
  </si>
  <si>
    <t>consommables pour TP BAG</t>
  </si>
  <si>
    <t>Télémanipulation</t>
  </si>
  <si>
    <t>TEL</t>
  </si>
  <si>
    <t>Accès au télémanipulateur (500 € par stagiaire)</t>
  </si>
  <si>
    <t>part variable par stagiaire</t>
  </si>
  <si>
    <t>légèrement variable à cause des +2 dans le nombre de repas</t>
  </si>
  <si>
    <t>Une fois le prix fixé</t>
  </si>
  <si>
    <t>Nbre participants mini pour couverture frais externes</t>
  </si>
  <si>
    <t>CEA</t>
  </si>
  <si>
    <t>non CEA</t>
  </si>
  <si>
    <t>prix/stagiaire-part variable</t>
  </si>
  <si>
    <t>Nbre participants mini pour couverture coût direct INSTN</t>
  </si>
  <si>
    <t>Nbre participants mini pour couverture coût complet CEA</t>
  </si>
  <si>
    <t>Frais externes</t>
  </si>
  <si>
    <t>Frais externes fixes</t>
  </si>
  <si>
    <t>Coût direct T1 - MO CT T1</t>
  </si>
  <si>
    <t>Part fixe - MO CT T1</t>
  </si>
  <si>
    <t>Code formation</t>
  </si>
  <si>
    <t>Intitulé formation</t>
  </si>
  <si>
    <t>Nombre de jours par session</t>
  </si>
  <si>
    <t>Prix 2020</t>
  </si>
  <si>
    <t>Prix remisé 2020</t>
  </si>
  <si>
    <t>Seuil couverture frais externes avec prix standard</t>
  </si>
  <si>
    <t>Seuil couverture frais externes avec prix remisé</t>
  </si>
  <si>
    <t>Seuil rentabilité coût direct avec prix standard</t>
  </si>
  <si>
    <t>Seuil rentabilité coût direct avec prix remisé</t>
  </si>
  <si>
    <t>Seuil rentabilité coût complet avec prix standard</t>
  </si>
  <si>
    <t>Seuil rentabilité coût complet avec prix remisé</t>
  </si>
  <si>
    <t>Temps passé RP (A1) hors conception en heures</t>
  </si>
  <si>
    <t>Dont enseigne-ment</t>
  </si>
  <si>
    <t>Temps passé AF (A2) en heures</t>
  </si>
  <si>
    <t>Montant des vacations (€)</t>
  </si>
  <si>
    <t>Frais variables par stagiaire (€)</t>
  </si>
  <si>
    <t>MAJ : 12/12/19</t>
  </si>
  <si>
    <t>Frais variables par stagiaire</t>
  </si>
  <si>
    <t>Coût direct - part fixe</t>
  </si>
  <si>
    <t>Frais variables par stagiaires avec TVA NR</t>
  </si>
  <si>
    <t>Coût complet - part fixe</t>
  </si>
  <si>
    <t>HORS INSTALLATION</t>
  </si>
  <si>
    <t>Coûts installation : 0 si pas pris en compte, 1 si pris en compte</t>
  </si>
  <si>
    <t>prix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</si>
</sst>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n">
        <color rgb="FFFF0000"/>
      </bottom>
      <diagonal/>
    </border>
    <border>
      <left/>
      <right/>
      <top style="thick">
        <color rgb="FFFF0000"/>
      </top>
      <bottom style="thin">
        <color rgb="FFFF0000"/>
      </bottom>
      <diagonal/>
    </border>
    <border>
      <left style="thin">
        <color rgb="FFFF0000"/>
      </left>
      <right style="thick">
        <color rgb="FFFF0000"/>
      </right>
      <top style="thick">
        <color rgb="FFFF0000"/>
      </top>
      <bottom style="thin">
        <color rgb="FFFF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thick">
        <color rgb="FFFF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FF0000"/>
      </left>
      <right/>
      <top style="thick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 style="thin">
        <color rgb="FFFF0000"/>
      </right>
      <top style="thick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ck">
        <color rgb="FFFF0000"/>
      </top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ck">
        <color rgb="FFFF0000"/>
      </bottom>
      <diagonal/>
    </border>
  </borders>
  <cellStyleXfs count="1">
    <xf numFmtId="0" fontId="0" fillId="0" borderId="0"/>
  </cellStyleXfs>
  <cellXfs count="503">
    <xf numFmtId="0" fontId="0" fillId="0" borderId="0" xfId="0"/>
    <xf numFmtId="0" fontId="0" fillId="0" borderId="0" xfId="0" applyFont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 applyProtection="1">
      <alignment horizontal="left" vertical="center" wrapText="1"/>
    </xf>
    <xf numFmtId="0" fontId="2" fillId="0" borderId="0" xfId="0" applyFont="1" applyAlignment="1">
      <alignment vertical="center"/>
    </xf>
    <xf numFmtId="0" fontId="0" fillId="0" borderId="1" xfId="0" applyFont="1" applyBorder="1" applyAlignment="1" applyProtection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4" fillId="0" borderId="0" xfId="0" applyFont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10" fontId="0" fillId="0" borderId="1" xfId="0" applyNumberFormat="1" applyFont="1" applyBorder="1" applyAlignment="1">
      <alignment horizontal="center" vertical="center" wrapText="1"/>
    </xf>
    <xf numFmtId="4" fontId="0" fillId="0" borderId="1" xfId="0" applyNumberFormat="1" applyFont="1" applyBorder="1" applyAlignment="1">
      <alignment vertical="center" wrapText="1"/>
    </xf>
    <xf numFmtId="3" fontId="0" fillId="3" borderId="1" xfId="0" applyNumberFormat="1" applyFont="1" applyFill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3" fontId="0" fillId="0" borderId="1" xfId="0" applyNumberFormat="1" applyFont="1" applyFill="1" applyBorder="1" applyAlignment="1">
      <alignment vertical="center" wrapText="1"/>
    </xf>
    <xf numFmtId="0" fontId="0" fillId="4" borderId="9" xfId="0" applyFont="1" applyFill="1" applyBorder="1" applyAlignment="1">
      <alignment horizontal="center" vertical="center" wrapText="1"/>
    </xf>
    <xf numFmtId="0" fontId="0" fillId="4" borderId="10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0" fillId="0" borderId="24" xfId="0" applyFont="1" applyBorder="1" applyAlignment="1" applyProtection="1">
      <alignment horizontal="left" vertical="center" wrapText="1"/>
    </xf>
    <xf numFmtId="4" fontId="0" fillId="0" borderId="24" xfId="0" applyNumberFormat="1" applyFont="1" applyBorder="1" applyAlignment="1">
      <alignment vertical="center" wrapText="1"/>
    </xf>
    <xf numFmtId="3" fontId="0" fillId="3" borderId="24" xfId="0" applyNumberFormat="1" applyFont="1" applyFill="1" applyBorder="1" applyAlignment="1">
      <alignment vertical="center" wrapText="1"/>
    </xf>
    <xf numFmtId="3" fontId="0" fillId="0" borderId="24" xfId="0" applyNumberFormat="1" applyFont="1" applyBorder="1" applyAlignment="1">
      <alignment vertical="center" wrapText="1"/>
    </xf>
    <xf numFmtId="3" fontId="0" fillId="0" borderId="24" xfId="0" applyNumberFormat="1" applyFont="1" applyFill="1" applyBorder="1" applyAlignment="1">
      <alignment vertical="center" wrapText="1"/>
    </xf>
    <xf numFmtId="0" fontId="0" fillId="0" borderId="17" xfId="0" applyFont="1" applyBorder="1" applyAlignment="1">
      <alignment vertical="center" wrapText="1"/>
    </xf>
    <xf numFmtId="4" fontId="0" fillId="0" borderId="17" xfId="0" applyNumberFormat="1" applyFont="1" applyBorder="1" applyAlignment="1">
      <alignment vertical="center" wrapText="1"/>
    </xf>
    <xf numFmtId="3" fontId="0" fillId="3" borderId="17" xfId="0" applyNumberFormat="1" applyFont="1" applyFill="1" applyBorder="1" applyAlignment="1">
      <alignment vertical="center" wrapText="1"/>
    </xf>
    <xf numFmtId="3" fontId="0" fillId="0" borderId="17" xfId="0" applyNumberFormat="1" applyFont="1" applyBorder="1" applyAlignment="1">
      <alignment vertical="center" wrapText="1"/>
    </xf>
    <xf numFmtId="3" fontId="0" fillId="0" borderId="17" xfId="0" applyNumberFormat="1" applyFont="1" applyFill="1" applyBorder="1" applyAlignment="1">
      <alignment vertical="center" wrapText="1"/>
    </xf>
    <xf numFmtId="0" fontId="1" fillId="0" borderId="24" xfId="0" applyFont="1" applyBorder="1" applyAlignment="1" applyProtection="1">
      <alignment horizontal="left" vertical="center" wrapText="1"/>
    </xf>
    <xf numFmtId="0" fontId="0" fillId="0" borderId="17" xfId="0" applyFont="1" applyBorder="1" applyAlignment="1" applyProtection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4" fontId="0" fillId="0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7" fillId="0" borderId="0" xfId="0" applyFont="1"/>
    <xf numFmtId="3" fontId="0" fillId="0" borderId="1" xfId="0" applyNumberFormat="1" applyBorder="1"/>
    <xf numFmtId="3" fontId="0" fillId="5" borderId="1" xfId="0" applyNumberFormat="1" applyFill="1" applyBorder="1"/>
    <xf numFmtId="0" fontId="4" fillId="0" borderId="1" xfId="0" applyFont="1" applyBorder="1" applyAlignment="1">
      <alignment horizontal="center" vertical="center" wrapText="1"/>
    </xf>
    <xf numFmtId="3" fontId="0" fillId="3" borderId="1" xfId="0" applyNumberFormat="1" applyFill="1" applyBorder="1"/>
    <xf numFmtId="0" fontId="4" fillId="0" borderId="7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7" xfId="0" applyBorder="1"/>
    <xf numFmtId="0" fontId="0" fillId="0" borderId="29" xfId="0" applyBorder="1"/>
    <xf numFmtId="0" fontId="0" fillId="0" borderId="32" xfId="0" applyBorder="1"/>
    <xf numFmtId="0" fontId="0" fillId="0" borderId="33" xfId="0" applyBorder="1"/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/>
    <xf numFmtId="0" fontId="0" fillId="0" borderId="37" xfId="0" applyBorder="1"/>
    <xf numFmtId="0" fontId="0" fillId="6" borderId="14" xfId="0" applyFill="1" applyBorder="1" applyAlignment="1">
      <alignment horizontal="center"/>
    </xf>
    <xf numFmtId="0" fontId="0" fillId="6" borderId="15" xfId="0" applyFill="1" applyBorder="1"/>
    <xf numFmtId="0" fontId="0" fillId="6" borderId="7" xfId="0" applyFill="1" applyBorder="1"/>
    <xf numFmtId="0" fontId="0" fillId="0" borderId="34" xfId="0" applyBorder="1"/>
    <xf numFmtId="0" fontId="0" fillId="0" borderId="22" xfId="0" applyBorder="1"/>
    <xf numFmtId="0" fontId="0" fillId="0" borderId="4" xfId="0" applyBorder="1"/>
    <xf numFmtId="0" fontId="4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3" borderId="15" xfId="0" applyFill="1" applyBorder="1"/>
    <xf numFmtId="0" fontId="0" fillId="3" borderId="18" xfId="0" applyFill="1" applyBorder="1"/>
    <xf numFmtId="0" fontId="0" fillId="3" borderId="22" xfId="0" applyFill="1" applyBorder="1"/>
    <xf numFmtId="0" fontId="0" fillId="3" borderId="15" xfId="0" applyFill="1" applyBorder="1" applyAlignment="1">
      <alignment vertical="center" wrapText="1"/>
    </xf>
    <xf numFmtId="3" fontId="6" fillId="5" borderId="1" xfId="0" applyNumberFormat="1" applyFont="1" applyFill="1" applyBorder="1"/>
    <xf numFmtId="3" fontId="0" fillId="3" borderId="2" xfId="0" applyNumberFormat="1" applyFont="1" applyFill="1" applyBorder="1" applyAlignment="1">
      <alignment vertical="center" wrapText="1"/>
    </xf>
    <xf numFmtId="3" fontId="0" fillId="0" borderId="2" xfId="0" applyNumberFormat="1" applyFont="1" applyFill="1" applyBorder="1" applyAlignment="1">
      <alignment vertical="center" wrapText="1"/>
    </xf>
    <xf numFmtId="3" fontId="0" fillId="0" borderId="2" xfId="0" applyNumberFormat="1" applyFont="1" applyBorder="1" applyAlignment="1">
      <alignment vertical="center" wrapText="1"/>
    </xf>
    <xf numFmtId="4" fontId="4" fillId="4" borderId="9" xfId="0" applyNumberFormat="1" applyFont="1" applyFill="1" applyBorder="1" applyAlignment="1">
      <alignment horizontal="right" vertical="center" wrapText="1"/>
    </xf>
    <xf numFmtId="3" fontId="4" fillId="4" borderId="9" xfId="0" applyNumberFormat="1" applyFont="1" applyFill="1" applyBorder="1" applyAlignment="1">
      <alignment horizontal="right" vertical="center" wrapText="1"/>
    </xf>
    <xf numFmtId="4" fontId="0" fillId="6" borderId="24" xfId="0" applyNumberFormat="1" applyFont="1" applyFill="1" applyBorder="1" applyAlignment="1">
      <alignment vertical="center" wrapText="1"/>
    </xf>
    <xf numFmtId="3" fontId="0" fillId="6" borderId="24" xfId="0" applyNumberFormat="1" applyFont="1" applyFill="1" applyBorder="1" applyAlignment="1">
      <alignment vertical="center" wrapText="1"/>
    </xf>
    <xf numFmtId="4" fontId="0" fillId="6" borderId="17" xfId="0" applyNumberFormat="1" applyFont="1" applyFill="1" applyBorder="1" applyAlignment="1">
      <alignment vertical="center" wrapText="1"/>
    </xf>
    <xf numFmtId="3" fontId="0" fillId="6" borderId="17" xfId="0" applyNumberFormat="1" applyFont="1" applyFill="1" applyBorder="1" applyAlignment="1">
      <alignment vertical="center" wrapText="1"/>
    </xf>
    <xf numFmtId="4" fontId="0" fillId="6" borderId="1" xfId="0" applyNumberFormat="1" applyFont="1" applyFill="1" applyBorder="1" applyAlignment="1">
      <alignment vertical="center" wrapText="1"/>
    </xf>
    <xf numFmtId="3" fontId="0" fillId="6" borderId="1" xfId="0" applyNumberFormat="1" applyFont="1" applyFill="1" applyBorder="1" applyAlignment="1">
      <alignment vertical="center" wrapText="1"/>
    </xf>
    <xf numFmtId="4" fontId="0" fillId="6" borderId="2" xfId="0" applyNumberFormat="1" applyFont="1" applyFill="1" applyBorder="1" applyAlignment="1">
      <alignment vertical="center" wrapText="1"/>
    </xf>
    <xf numFmtId="3" fontId="0" fillId="6" borderId="2" xfId="0" applyNumberFormat="1" applyFont="1" applyFill="1" applyBorder="1" applyAlignment="1">
      <alignment vertical="center" wrapText="1"/>
    </xf>
    <xf numFmtId="4" fontId="4" fillId="6" borderId="9" xfId="0" applyNumberFormat="1" applyFont="1" applyFill="1" applyBorder="1" applyAlignment="1">
      <alignment horizontal="right" vertical="center" wrapText="1"/>
    </xf>
    <xf numFmtId="3" fontId="4" fillId="6" borderId="9" xfId="0" applyNumberFormat="1" applyFont="1" applyFill="1" applyBorder="1" applyAlignment="1">
      <alignment horizontal="right" vertical="center" wrapText="1"/>
    </xf>
    <xf numFmtId="3" fontId="3" fillId="6" borderId="1" xfId="0" applyNumberFormat="1" applyFont="1" applyFill="1" applyBorder="1" applyAlignment="1">
      <alignment vertical="center" wrapText="1"/>
    </xf>
    <xf numFmtId="4" fontId="0" fillId="0" borderId="1" xfId="0" applyNumberFormat="1" applyFont="1" applyBorder="1" applyAlignment="1">
      <alignment horizontal="center" vertical="center" wrapText="1"/>
    </xf>
    <xf numFmtId="4" fontId="0" fillId="0" borderId="1" xfId="0" applyNumberFormat="1" applyBorder="1"/>
    <xf numFmtId="4" fontId="0" fillId="3" borderId="1" xfId="0" applyNumberFormat="1" applyFont="1" applyFill="1" applyBorder="1" applyAlignment="1">
      <alignment horizontal="center" vertical="center" wrapText="1"/>
    </xf>
    <xf numFmtId="4" fontId="0" fillId="3" borderId="1" xfId="0" applyNumberFormat="1" applyFill="1" applyBorder="1"/>
    <xf numFmtId="3" fontId="0" fillId="0" borderId="1" xfId="0" applyNumberFormat="1" applyFill="1" applyBorder="1" applyAlignment="1">
      <alignment horizontal="center"/>
    </xf>
    <xf numFmtId="0" fontId="0" fillId="0" borderId="46" xfId="0" applyBorder="1"/>
    <xf numFmtId="0" fontId="0" fillId="3" borderId="45" xfId="0" applyFill="1" applyBorder="1"/>
    <xf numFmtId="0" fontId="0" fillId="0" borderId="44" xfId="0" applyBorder="1"/>
    <xf numFmtId="0" fontId="4" fillId="0" borderId="5" xfId="0" applyFont="1" applyBorder="1" applyAlignment="1">
      <alignment horizontal="center" vertical="center" wrapText="1"/>
    </xf>
    <xf numFmtId="0" fontId="0" fillId="3" borderId="5" xfId="0" applyFill="1" applyBorder="1"/>
    <xf numFmtId="0" fontId="0" fillId="3" borderId="49" xfId="0" applyFill="1" applyBorder="1"/>
    <xf numFmtId="0" fontId="0" fillId="3" borderId="50" xfId="0" applyFill="1" applyBorder="1"/>
    <xf numFmtId="0" fontId="5" fillId="0" borderId="5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0" fillId="0" borderId="14" xfId="0" applyFont="1" applyBorder="1" applyAlignment="1">
      <alignment vertical="center" wrapText="1"/>
    </xf>
    <xf numFmtId="4" fontId="0" fillId="5" borderId="15" xfId="0" applyNumberFormat="1" applyFill="1" applyBorder="1"/>
    <xf numFmtId="0" fontId="0" fillId="0" borderId="14" xfId="0" applyFont="1" applyFill="1" applyBorder="1" applyAlignment="1">
      <alignment vertical="center" wrapText="1"/>
    </xf>
    <xf numFmtId="4" fontId="6" fillId="5" borderId="18" xfId="0" applyNumberFormat="1" applyFont="1" applyFill="1" applyBorder="1"/>
    <xf numFmtId="0" fontId="2" fillId="0" borderId="0" xfId="0" applyFont="1"/>
    <xf numFmtId="0" fontId="0" fillId="0" borderId="36" xfId="0" applyBorder="1"/>
    <xf numFmtId="0" fontId="4" fillId="0" borderId="38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5" borderId="32" xfId="0" applyFont="1" applyFill="1" applyBorder="1" applyAlignment="1">
      <alignment vertical="center" wrapText="1"/>
    </xf>
    <xf numFmtId="0" fontId="4" fillId="5" borderId="33" xfId="0" applyFont="1" applyFill="1" applyBorder="1" applyAlignment="1">
      <alignment vertical="center" wrapText="1"/>
    </xf>
    <xf numFmtId="0" fontId="0" fillId="3" borderId="52" xfId="0" applyFill="1" applyBorder="1"/>
    <xf numFmtId="0" fontId="4" fillId="5" borderId="31" xfId="0" applyFont="1" applyFill="1" applyBorder="1" applyAlignment="1">
      <alignment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6" fillId="5" borderId="48" xfId="0" applyFont="1" applyFill="1" applyBorder="1" applyAlignment="1">
      <alignment vertical="center" wrapText="1"/>
    </xf>
    <xf numFmtId="3" fontId="4" fillId="4" borderId="8" xfId="0" applyNumberFormat="1" applyFont="1" applyFill="1" applyBorder="1" applyAlignment="1">
      <alignment vertical="center" wrapText="1"/>
    </xf>
    <xf numFmtId="0" fontId="5" fillId="0" borderId="39" xfId="0" applyFont="1" applyFill="1" applyBorder="1" applyAlignment="1">
      <alignment vertical="center"/>
    </xf>
    <xf numFmtId="0" fontId="9" fillId="0" borderId="48" xfId="0" applyFont="1" applyFill="1" applyBorder="1" applyAlignment="1">
      <alignment vertical="center" wrapText="1"/>
    </xf>
    <xf numFmtId="4" fontId="0" fillId="7" borderId="1" xfId="0" applyNumberFormat="1" applyFont="1" applyFill="1" applyBorder="1" applyAlignment="1">
      <alignment vertical="center" wrapText="1"/>
    </xf>
    <xf numFmtId="3" fontId="0" fillId="7" borderId="1" xfId="0" applyNumberFormat="1" applyFont="1" applyFill="1" applyBorder="1" applyAlignment="1">
      <alignment vertical="center" wrapText="1"/>
    </xf>
    <xf numFmtId="0" fontId="2" fillId="0" borderId="27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3" fontId="1" fillId="3" borderId="1" xfId="0" applyNumberFormat="1" applyFont="1" applyFill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4" borderId="8" xfId="0" applyFont="1" applyFill="1" applyBorder="1" applyAlignment="1">
      <alignment horizontal="center" vertical="center" wrapText="1"/>
    </xf>
    <xf numFmtId="3" fontId="4" fillId="4" borderId="48" xfId="0" applyNumberFormat="1" applyFont="1" applyFill="1" applyBorder="1" applyAlignment="1">
      <alignment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0" fillId="0" borderId="3" xfId="0" applyFont="1" applyBorder="1" applyAlignment="1" applyProtection="1">
      <alignment horizontal="left" vertical="center" wrapText="1"/>
    </xf>
    <xf numFmtId="4" fontId="0" fillId="0" borderId="3" xfId="0" applyNumberFormat="1" applyFont="1" applyBorder="1" applyAlignment="1">
      <alignment vertical="center" wrapText="1"/>
    </xf>
    <xf numFmtId="3" fontId="0" fillId="3" borderId="3" xfId="0" applyNumberFormat="1" applyFont="1" applyFill="1" applyBorder="1" applyAlignment="1">
      <alignment vertical="center" wrapText="1"/>
    </xf>
    <xf numFmtId="4" fontId="0" fillId="6" borderId="3" xfId="0" applyNumberFormat="1" applyFont="1" applyFill="1" applyBorder="1" applyAlignment="1">
      <alignment vertical="center" wrapText="1"/>
    </xf>
    <xf numFmtId="3" fontId="0" fillId="6" borderId="3" xfId="0" applyNumberFormat="1" applyFont="1" applyFill="1" applyBorder="1" applyAlignment="1">
      <alignment vertical="center" wrapText="1"/>
    </xf>
    <xf numFmtId="3" fontId="0" fillId="0" borderId="3" xfId="0" applyNumberFormat="1" applyFont="1" applyBorder="1" applyAlignment="1">
      <alignment vertical="center" wrapText="1"/>
    </xf>
    <xf numFmtId="3" fontId="0" fillId="0" borderId="3" xfId="0" applyNumberFormat="1" applyFont="1" applyFill="1" applyBorder="1" applyAlignment="1">
      <alignment vertical="center" wrapText="1"/>
    </xf>
    <xf numFmtId="4" fontId="0" fillId="7" borderId="2" xfId="0" applyNumberFormat="1" applyFont="1" applyFill="1" applyBorder="1" applyAlignment="1">
      <alignment vertical="center" wrapText="1"/>
    </xf>
    <xf numFmtId="3" fontId="0" fillId="7" borderId="2" xfId="0" applyNumberFormat="1" applyFont="1" applyFill="1" applyBorder="1" applyAlignment="1">
      <alignment vertical="center" wrapText="1"/>
    </xf>
    <xf numFmtId="3" fontId="3" fillId="6" borderId="2" xfId="0" applyNumberFormat="1" applyFont="1" applyFill="1" applyBorder="1" applyAlignment="1">
      <alignment vertical="center" wrapText="1"/>
    </xf>
    <xf numFmtId="3" fontId="4" fillId="4" borderId="42" xfId="0" applyNumberFormat="1" applyFont="1" applyFill="1" applyBorder="1" applyAlignment="1">
      <alignment horizontal="right" vertical="center" wrapText="1"/>
    </xf>
    <xf numFmtId="0" fontId="5" fillId="0" borderId="40" xfId="0" applyFont="1" applyFill="1" applyBorder="1" applyAlignment="1">
      <alignment vertical="center"/>
    </xf>
    <xf numFmtId="3" fontId="0" fillId="3" borderId="59" xfId="0" applyNumberFormat="1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3" fontId="5" fillId="4" borderId="8" xfId="0" applyNumberFormat="1" applyFont="1" applyFill="1" applyBorder="1" applyAlignment="1">
      <alignment vertical="center" wrapText="1"/>
    </xf>
    <xf numFmtId="3" fontId="2" fillId="3" borderId="13" xfId="0" applyNumberFormat="1" applyFont="1" applyFill="1" applyBorder="1" applyAlignment="1">
      <alignment vertical="center" wrapText="1"/>
    </xf>
    <xf numFmtId="3" fontId="2" fillId="3" borderId="55" xfId="0" applyNumberFormat="1" applyFont="1" applyFill="1" applyBorder="1" applyAlignment="1">
      <alignment vertical="center" wrapText="1"/>
    </xf>
    <xf numFmtId="3" fontId="2" fillId="3" borderId="56" xfId="0" applyNumberFormat="1" applyFont="1" applyFill="1" applyBorder="1" applyAlignment="1">
      <alignment vertical="center" wrapText="1"/>
    </xf>
    <xf numFmtId="3" fontId="2" fillId="3" borderId="57" xfId="0" applyNumberFormat="1" applyFont="1" applyFill="1" applyBorder="1" applyAlignment="1">
      <alignment vertical="center" wrapText="1"/>
    </xf>
    <xf numFmtId="3" fontId="5" fillId="4" borderId="42" xfId="0" applyNumberFormat="1" applyFont="1" applyFill="1" applyBorder="1" applyAlignment="1">
      <alignment horizontal="right" vertical="center" wrapText="1"/>
    </xf>
    <xf numFmtId="3" fontId="2" fillId="3" borderId="58" xfId="0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0" fillId="0" borderId="47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3" fontId="0" fillId="3" borderId="7" xfId="0" applyNumberFormat="1" applyFont="1" applyFill="1" applyBorder="1" applyAlignment="1">
      <alignment vertical="center" wrapText="1"/>
    </xf>
    <xf numFmtId="3" fontId="0" fillId="0" borderId="60" xfId="0" applyNumberFormat="1" applyFont="1" applyFill="1" applyBorder="1" applyAlignment="1">
      <alignment vertical="center" wrapText="1"/>
    </xf>
    <xf numFmtId="4" fontId="0" fillId="6" borderId="7" xfId="0" applyNumberFormat="1" applyFont="1" applyFill="1" applyBorder="1" applyAlignment="1">
      <alignment vertical="center" wrapText="1"/>
    </xf>
    <xf numFmtId="0" fontId="1" fillId="0" borderId="2" xfId="0" applyFont="1" applyBorder="1" applyAlignment="1" applyProtection="1">
      <alignment horizontal="left" vertical="center" wrapText="1"/>
    </xf>
    <xf numFmtId="0" fontId="0" fillId="0" borderId="60" xfId="0" applyFont="1" applyBorder="1" applyAlignment="1" applyProtection="1">
      <alignment horizontal="left" vertical="center" wrapText="1"/>
    </xf>
    <xf numFmtId="4" fontId="0" fillId="6" borderId="47" xfId="0" applyNumberFormat="1" applyFont="1" applyFill="1" applyBorder="1" applyAlignment="1">
      <alignment vertical="center" wrapText="1"/>
    </xf>
    <xf numFmtId="0" fontId="0" fillId="0" borderId="61" xfId="0" applyFont="1" applyBorder="1" applyAlignment="1" applyProtection="1">
      <alignment horizontal="left" vertical="center" wrapText="1"/>
    </xf>
    <xf numFmtId="3" fontId="4" fillId="4" borderId="64" xfId="0" applyNumberFormat="1" applyFont="1" applyFill="1" applyBorder="1" applyAlignment="1">
      <alignment horizontal="right" vertical="center" wrapText="1"/>
    </xf>
    <xf numFmtId="3" fontId="0" fillId="0" borderId="61" xfId="0" applyNumberFormat="1" applyFont="1" applyBorder="1" applyAlignment="1">
      <alignment vertical="center" wrapText="1"/>
    </xf>
    <xf numFmtId="3" fontId="0" fillId="6" borderId="5" xfId="0" applyNumberFormat="1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5" fillId="0" borderId="39" xfId="0" applyFont="1" applyFill="1" applyBorder="1" applyAlignment="1">
      <alignment vertical="center" wrapText="1"/>
    </xf>
    <xf numFmtId="0" fontId="5" fillId="0" borderId="40" xfId="0" applyFont="1" applyFill="1" applyBorder="1" applyAlignment="1">
      <alignment vertical="center" wrapText="1"/>
    </xf>
    <xf numFmtId="0" fontId="12" fillId="0" borderId="48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46" xfId="0" applyFont="1" applyBorder="1" applyAlignment="1">
      <alignment vertical="center" wrapText="1"/>
    </xf>
    <xf numFmtId="4" fontId="0" fillId="0" borderId="2" xfId="0" applyNumberFormat="1" applyFont="1" applyBorder="1" applyAlignment="1">
      <alignment horizontal="center" vertical="center" wrapText="1"/>
    </xf>
    <xf numFmtId="4" fontId="0" fillId="3" borderId="2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8" fillId="0" borderId="1" xfId="0" applyFont="1" applyBorder="1" applyAlignment="1" applyProtection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47" xfId="0" applyFont="1" applyBorder="1" applyAlignment="1">
      <alignment vertical="center"/>
    </xf>
    <xf numFmtId="0" fontId="0" fillId="0" borderId="4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11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 wrapText="1"/>
    </xf>
    <xf numFmtId="0" fontId="0" fillId="0" borderId="65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8" fillId="0" borderId="46" xfId="0" applyFont="1" applyBorder="1" applyAlignment="1">
      <alignment vertical="center" wrapText="1"/>
    </xf>
    <xf numFmtId="0" fontId="8" fillId="0" borderId="16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/>
    </xf>
    <xf numFmtId="4" fontId="4" fillId="5" borderId="15" xfId="0" applyNumberFormat="1" applyFont="1" applyFill="1" applyBorder="1" applyAlignment="1">
      <alignment vertical="center"/>
    </xf>
    <xf numFmtId="4" fontId="0" fillId="0" borderId="17" xfId="0" applyNumberFormat="1" applyBorder="1" applyAlignment="1">
      <alignment horizontal="center" vertical="center"/>
    </xf>
    <xf numFmtId="4" fontId="0" fillId="3" borderId="17" xfId="0" applyNumberFormat="1" applyFill="1" applyBorder="1" applyAlignment="1">
      <alignment horizontal="center" vertical="center"/>
    </xf>
    <xf numFmtId="3" fontId="0" fillId="0" borderId="17" xfId="0" applyNumberFormat="1" applyFill="1" applyBorder="1" applyAlignment="1">
      <alignment horizontal="center" vertical="center"/>
    </xf>
    <xf numFmtId="4" fontId="4" fillId="5" borderId="18" xfId="0" applyNumberFormat="1" applyFont="1" applyFill="1" applyBorder="1" applyAlignment="1">
      <alignment vertical="center"/>
    </xf>
    <xf numFmtId="0" fontId="9" fillId="0" borderId="73" xfId="0" applyFont="1" applyBorder="1" applyAlignment="1">
      <alignment horizontal="center" vertical="center" wrapText="1"/>
    </xf>
    <xf numFmtId="0" fontId="9" fillId="0" borderId="7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5" fillId="0" borderId="49" xfId="0" applyFont="1" applyBorder="1" applyAlignment="1">
      <alignment vertical="center"/>
    </xf>
    <xf numFmtId="0" fontId="5" fillId="0" borderId="52" xfId="0" applyFont="1" applyBorder="1" applyAlignment="1">
      <alignment vertical="center"/>
    </xf>
    <xf numFmtId="9" fontId="4" fillId="0" borderId="5" xfId="0" applyNumberFormat="1" applyFont="1" applyBorder="1" applyAlignment="1">
      <alignment vertical="center" wrapText="1"/>
    </xf>
    <xf numFmtId="0" fontId="0" fillId="0" borderId="62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0" fillId="0" borderId="35" xfId="0" applyFont="1" applyBorder="1" applyAlignment="1">
      <alignment vertical="center" wrapText="1"/>
    </xf>
    <xf numFmtId="0" fontId="0" fillId="0" borderId="20" xfId="0" applyFont="1" applyBorder="1" applyAlignment="1">
      <alignment vertical="center" wrapText="1"/>
    </xf>
    <xf numFmtId="3" fontId="3" fillId="0" borderId="15" xfId="0" applyNumberFormat="1" applyFont="1" applyBorder="1" applyAlignment="1">
      <alignment horizontal="center" vertical="center" wrapText="1"/>
    </xf>
    <xf numFmtId="3" fontId="0" fillId="0" borderId="17" xfId="0" applyNumberFormat="1" applyFont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 vertical="center" wrapText="1"/>
    </xf>
    <xf numFmtId="3" fontId="3" fillId="0" borderId="18" xfId="0" applyNumberFormat="1" applyFont="1" applyBorder="1" applyAlignment="1">
      <alignment horizontal="center" vertical="center" wrapText="1"/>
    </xf>
    <xf numFmtId="4" fontId="0" fillId="0" borderId="7" xfId="0" applyNumberFormat="1" applyFont="1" applyBorder="1" applyAlignment="1">
      <alignment vertical="center" wrapText="1"/>
    </xf>
    <xf numFmtId="3" fontId="0" fillId="6" borderId="78" xfId="0" applyNumberFormat="1" applyFont="1" applyFill="1" applyBorder="1" applyAlignment="1">
      <alignment vertical="center" wrapText="1"/>
    </xf>
    <xf numFmtId="3" fontId="0" fillId="3" borderId="77" xfId="0" applyNumberFormat="1" applyFont="1" applyFill="1" applyBorder="1" applyAlignment="1">
      <alignment vertical="center" wrapText="1"/>
    </xf>
    <xf numFmtId="0" fontId="14" fillId="0" borderId="2" xfId="0" applyFont="1" applyBorder="1" applyAlignment="1" applyProtection="1">
      <alignment horizontal="left" vertical="center" wrapText="1"/>
    </xf>
    <xf numFmtId="4" fontId="14" fillId="0" borderId="47" xfId="0" applyNumberFormat="1" applyFont="1" applyBorder="1" applyAlignment="1">
      <alignment vertical="center" wrapText="1"/>
    </xf>
    <xf numFmtId="4" fontId="14" fillId="0" borderId="2" xfId="0" applyNumberFormat="1" applyFont="1" applyBorder="1" applyAlignment="1">
      <alignment vertical="center" wrapText="1"/>
    </xf>
    <xf numFmtId="3" fontId="14" fillId="3" borderId="1" xfId="0" applyNumberFormat="1" applyFont="1" applyFill="1" applyBorder="1" applyAlignment="1">
      <alignment vertical="center" wrapText="1"/>
    </xf>
    <xf numFmtId="4" fontId="14" fillId="6" borderId="2" xfId="0" applyNumberFormat="1" applyFont="1" applyFill="1" applyBorder="1" applyAlignment="1">
      <alignment vertical="center" wrapText="1"/>
    </xf>
    <xf numFmtId="3" fontId="14" fillId="6" borderId="2" xfId="0" applyNumberFormat="1" applyFont="1" applyFill="1" applyBorder="1" applyAlignment="1">
      <alignment vertical="center" wrapText="1"/>
    </xf>
    <xf numFmtId="3" fontId="14" fillId="0" borderId="1" xfId="0" applyNumberFormat="1" applyFont="1" applyBorder="1" applyAlignment="1">
      <alignment vertical="center" wrapText="1"/>
    </xf>
    <xf numFmtId="3" fontId="14" fillId="0" borderId="2" xfId="0" applyNumberFormat="1" applyFont="1" applyFill="1" applyBorder="1" applyAlignment="1">
      <alignment vertical="center" wrapText="1"/>
    </xf>
    <xf numFmtId="3" fontId="15" fillId="3" borderId="56" xfId="0" applyNumberFormat="1" applyFont="1" applyFill="1" applyBorder="1" applyAlignment="1">
      <alignment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9" fillId="9" borderId="24" xfId="0" applyFont="1" applyFill="1" applyBorder="1" applyAlignment="1">
      <alignment horizontal="center" vertical="center" wrapText="1"/>
    </xf>
    <xf numFmtId="0" fontId="19" fillId="9" borderId="24" xfId="0" applyFont="1" applyFill="1" applyBorder="1" applyAlignment="1">
      <alignment vertical="center" wrapText="1"/>
    </xf>
    <xf numFmtId="0" fontId="1" fillId="9" borderId="25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vertical="center" wrapText="1"/>
    </xf>
    <xf numFmtId="0" fontId="0" fillId="10" borderId="15" xfId="0" applyFill="1" applyBorder="1" applyAlignment="1">
      <alignment horizontal="center" vertical="center" wrapText="1"/>
    </xf>
    <xf numFmtId="0" fontId="19" fillId="10" borderId="17" xfId="0" applyFont="1" applyFill="1" applyBorder="1" applyAlignment="1">
      <alignment horizontal="center" vertical="center" wrapText="1"/>
    </xf>
    <xf numFmtId="0" fontId="19" fillId="10" borderId="17" xfId="0" applyFont="1" applyFill="1" applyBorder="1" applyAlignment="1">
      <alignment vertical="center" wrapText="1"/>
    </xf>
    <xf numFmtId="0" fontId="0" fillId="10" borderId="18" xfId="0" applyFill="1" applyBorder="1" applyAlignment="1">
      <alignment horizontal="center" vertical="center" wrapText="1"/>
    </xf>
    <xf numFmtId="0" fontId="19" fillId="10" borderId="24" xfId="0" applyFont="1" applyFill="1" applyBorder="1" applyAlignment="1">
      <alignment horizontal="center" vertical="center" wrapText="1"/>
    </xf>
    <xf numFmtId="0" fontId="19" fillId="10" borderId="24" xfId="0" applyFont="1" applyFill="1" applyBorder="1" applyAlignment="1">
      <alignment vertical="center" wrapText="1"/>
    </xf>
    <xf numFmtId="0" fontId="0" fillId="10" borderId="25" xfId="0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vertical="center" wrapText="1"/>
    </xf>
    <xf numFmtId="0" fontId="1" fillId="9" borderId="15" xfId="0" applyFont="1" applyFill="1" applyBorder="1" applyAlignment="1">
      <alignment horizontal="center" vertical="center" wrapText="1"/>
    </xf>
    <xf numFmtId="0" fontId="19" fillId="9" borderId="9" xfId="0" applyFont="1" applyFill="1" applyBorder="1" applyAlignment="1">
      <alignment horizontal="center" vertical="center" wrapText="1"/>
    </xf>
    <xf numFmtId="0" fontId="19" fillId="9" borderId="9" xfId="0" applyFont="1" applyFill="1" applyBorder="1" applyAlignment="1">
      <alignment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9" fillId="9" borderId="17" xfId="0" applyFont="1" applyFill="1" applyBorder="1" applyAlignment="1">
      <alignment horizontal="center" vertical="center" wrapText="1"/>
    </xf>
    <xf numFmtId="0" fontId="19" fillId="9" borderId="17" xfId="0" applyFont="1" applyFill="1" applyBorder="1" applyAlignment="1">
      <alignment vertical="center" wrapText="1"/>
    </xf>
    <xf numFmtId="0" fontId="1" fillId="9" borderId="18" xfId="0" applyFont="1" applyFill="1" applyBorder="1" applyAlignment="1">
      <alignment horizontal="center" vertical="center" wrapText="1"/>
    </xf>
    <xf numFmtId="0" fontId="18" fillId="10" borderId="9" xfId="0" applyFont="1" applyFill="1" applyBorder="1" applyAlignment="1">
      <alignment horizontal="center" vertical="center" wrapText="1"/>
    </xf>
    <xf numFmtId="0" fontId="18" fillId="10" borderId="9" xfId="0" applyFont="1" applyFill="1" applyBorder="1" applyAlignment="1">
      <alignment vertical="center" wrapText="1"/>
    </xf>
    <xf numFmtId="0" fontId="0" fillId="10" borderId="10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6" fillId="0" borderId="1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7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0" borderId="59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left" vertical="center" wrapText="1"/>
    </xf>
    <xf numFmtId="0" fontId="22" fillId="8" borderId="8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3" fontId="13" fillId="0" borderId="3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/>
    </xf>
    <xf numFmtId="0" fontId="20" fillId="0" borderId="0" xfId="0" applyFont="1"/>
    <xf numFmtId="0" fontId="4" fillId="0" borderId="7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21" fillId="0" borderId="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/>
    <xf numFmtId="0" fontId="2" fillId="0" borderId="47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25" fillId="0" borderId="30" xfId="0" applyFont="1" applyBorder="1"/>
    <xf numFmtId="0" fontId="2" fillId="12" borderId="80" xfId="0" applyFont="1" applyFill="1" applyBorder="1"/>
    <xf numFmtId="0" fontId="2" fillId="11" borderId="80" xfId="0" applyFont="1" applyFill="1" applyBorder="1"/>
    <xf numFmtId="0" fontId="2" fillId="5" borderId="80" xfId="0" applyFont="1" applyFill="1" applyBorder="1"/>
    <xf numFmtId="0" fontId="24" fillId="0" borderId="48" xfId="0" applyFont="1" applyBorder="1" applyAlignment="1">
      <alignment horizontal="center"/>
    </xf>
    <xf numFmtId="0" fontId="0" fillId="13" borderId="80" xfId="0" applyFill="1" applyBorder="1"/>
    <xf numFmtId="0" fontId="2" fillId="0" borderId="54" xfId="0" applyFont="1" applyBorder="1"/>
    <xf numFmtId="3" fontId="0" fillId="3" borderId="5" xfId="0" applyNumberFormat="1" applyFont="1" applyFill="1" applyBorder="1" applyAlignment="1">
      <alignment vertical="center" wrapText="1"/>
    </xf>
    <xf numFmtId="3" fontId="0" fillId="3" borderId="60" xfId="0" applyNumberFormat="1" applyFont="1" applyFill="1" applyBorder="1" applyAlignment="1">
      <alignment vertical="center" wrapText="1"/>
    </xf>
    <xf numFmtId="4" fontId="0" fillId="3" borderId="24" xfId="0" applyNumberFormat="1" applyFont="1" applyFill="1" applyBorder="1" applyAlignment="1">
      <alignment vertical="center" wrapText="1"/>
    </xf>
    <xf numFmtId="4" fontId="0" fillId="3" borderId="17" xfId="0" applyNumberFormat="1" applyFont="1" applyFill="1" applyBorder="1" applyAlignment="1">
      <alignment vertical="center" wrapText="1"/>
    </xf>
    <xf numFmtId="4" fontId="0" fillId="3" borderId="1" xfId="0" applyNumberFormat="1" applyFont="1" applyFill="1" applyBorder="1" applyAlignment="1">
      <alignment vertical="center" wrapText="1"/>
    </xf>
    <xf numFmtId="4" fontId="0" fillId="3" borderId="7" xfId="0" applyNumberFormat="1" applyFont="1" applyFill="1" applyBorder="1" applyAlignment="1">
      <alignment vertical="center" wrapText="1"/>
    </xf>
    <xf numFmtId="4" fontId="14" fillId="3" borderId="47" xfId="0" applyNumberFormat="1" applyFont="1" applyFill="1" applyBorder="1" applyAlignment="1">
      <alignment vertical="center" wrapText="1"/>
    </xf>
    <xf numFmtId="4" fontId="14" fillId="3" borderId="2" xfId="0" applyNumberFormat="1" applyFont="1" applyFill="1" applyBorder="1" applyAlignment="1">
      <alignment vertical="center" wrapText="1"/>
    </xf>
    <xf numFmtId="4" fontId="0" fillId="3" borderId="3" xfId="0" applyNumberFormat="1" applyFont="1" applyFill="1" applyBorder="1" applyAlignment="1">
      <alignment vertical="center" wrapText="1"/>
    </xf>
    <xf numFmtId="3" fontId="14" fillId="3" borderId="2" xfId="0" applyNumberFormat="1" applyFont="1" applyFill="1" applyBorder="1" applyAlignment="1">
      <alignment vertical="center" wrapText="1"/>
    </xf>
    <xf numFmtId="3" fontId="0" fillId="3" borderId="61" xfId="0" applyNumberFormat="1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 wrapText="1"/>
    </xf>
    <xf numFmtId="3" fontId="13" fillId="3" borderId="3" xfId="0" applyNumberFormat="1" applyFont="1" applyFill="1" applyBorder="1" applyAlignment="1">
      <alignment horizontal="center" vertical="center" wrapText="1"/>
    </xf>
    <xf numFmtId="3" fontId="13" fillId="3" borderId="1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3" fontId="0" fillId="3" borderId="1" xfId="0" applyNumberFormat="1" applyFont="1" applyFill="1" applyBorder="1" applyAlignment="1">
      <alignment horizontal="center" vertical="center" wrapText="1"/>
    </xf>
    <xf numFmtId="3" fontId="0" fillId="3" borderId="17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0" fontId="0" fillId="3" borderId="1" xfId="0" applyNumberFormat="1" applyFont="1" applyFill="1" applyBorder="1" applyAlignment="1">
      <alignment horizontal="center" vertical="center" wrapText="1"/>
    </xf>
    <xf numFmtId="0" fontId="12" fillId="3" borderId="48" xfId="0" applyFont="1" applyFill="1" applyBorder="1" applyAlignment="1">
      <alignment vertical="center" wrapText="1"/>
    </xf>
    <xf numFmtId="0" fontId="9" fillId="3" borderId="48" xfId="0" applyFont="1" applyFill="1" applyBorder="1" applyAlignment="1">
      <alignment vertical="center" wrapText="1"/>
    </xf>
    <xf numFmtId="0" fontId="0" fillId="0" borderId="80" xfId="0" applyBorder="1"/>
    <xf numFmtId="0" fontId="0" fillId="3" borderId="80" xfId="0" applyFill="1" applyBorder="1"/>
    <xf numFmtId="0" fontId="0" fillId="7" borderId="54" xfId="0" applyFill="1" applyBorder="1"/>
    <xf numFmtId="0" fontId="0" fillId="0" borderId="54" xfId="0" applyBorder="1"/>
    <xf numFmtId="0" fontId="9" fillId="0" borderId="81" xfId="0" applyFont="1" applyBorder="1" applyAlignment="1">
      <alignment horizontal="center" vertical="center" wrapText="1"/>
    </xf>
    <xf numFmtId="0" fontId="9" fillId="0" borderId="82" xfId="0" applyFont="1" applyBorder="1" applyAlignment="1">
      <alignment horizontal="center" vertical="center" wrapText="1"/>
    </xf>
    <xf numFmtId="3" fontId="8" fillId="0" borderId="73" xfId="0" applyNumberFormat="1" applyFont="1" applyBorder="1" applyAlignment="1">
      <alignment vertical="center" wrapText="1"/>
    </xf>
    <xf numFmtId="3" fontId="8" fillId="0" borderId="74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2" fillId="0" borderId="3" xfId="0" applyNumberFormat="1" applyFont="1" applyBorder="1" applyAlignment="1">
      <alignment vertical="center" wrapText="1"/>
    </xf>
    <xf numFmtId="3" fontId="0" fillId="0" borderId="0" xfId="0" applyNumberFormat="1" applyFont="1" applyAlignment="1">
      <alignment vertical="center" wrapText="1"/>
    </xf>
    <xf numFmtId="0" fontId="0" fillId="0" borderId="0" xfId="0" applyFont="1" applyAlignment="1">
      <alignment horizontal="left" vertical="center"/>
    </xf>
    <xf numFmtId="1" fontId="0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5" fillId="5" borderId="8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1" fontId="0" fillId="0" borderId="1" xfId="0" applyNumberFormat="1" applyFont="1" applyBorder="1" applyAlignment="1">
      <alignment vertical="center" wrapText="1"/>
    </xf>
    <xf numFmtId="14" fontId="9" fillId="0" borderId="0" xfId="0" applyNumberFormat="1" applyFont="1" applyAlignment="1">
      <alignment horizontal="center" vertical="center" wrapText="1"/>
    </xf>
    <xf numFmtId="0" fontId="0" fillId="14" borderId="0" xfId="0" applyFont="1" applyFill="1" applyAlignment="1">
      <alignment vertical="center" wrapText="1"/>
    </xf>
    <xf numFmtId="0" fontId="20" fillId="0" borderId="35" xfId="0" applyFont="1" applyFill="1" applyBorder="1" applyAlignment="1">
      <alignment horizontal="center" vertical="center" wrapText="1"/>
    </xf>
    <xf numFmtId="0" fontId="20" fillId="0" borderId="62" xfId="0" applyFont="1" applyFill="1" applyBorder="1" applyAlignment="1">
      <alignment horizontal="center" vertical="center" wrapText="1"/>
    </xf>
    <xf numFmtId="0" fontId="20" fillId="0" borderId="75" xfId="0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 wrapText="1"/>
    </xf>
    <xf numFmtId="0" fontId="20" fillId="0" borderId="19" xfId="0" applyFont="1" applyFill="1" applyBorder="1" applyAlignment="1">
      <alignment horizontal="center" vertical="center" wrapText="1"/>
    </xf>
    <xf numFmtId="0" fontId="20" fillId="0" borderId="37" xfId="0" applyFont="1" applyFill="1" applyBorder="1" applyAlignment="1">
      <alignment horizontal="center" vertical="center" wrapText="1"/>
    </xf>
    <xf numFmtId="0" fontId="22" fillId="8" borderId="51" xfId="0" applyFont="1" applyFill="1" applyBorder="1" applyAlignment="1">
      <alignment horizontal="left" vertical="center" wrapText="1"/>
    </xf>
    <xf numFmtId="0" fontId="22" fillId="8" borderId="14" xfId="0" applyFont="1" applyFill="1" applyBorder="1" applyAlignment="1">
      <alignment horizontal="left" vertical="center" wrapText="1"/>
    </xf>
    <xf numFmtId="0" fontId="22" fillId="8" borderId="16" xfId="0" applyFont="1" applyFill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20" fillId="0" borderId="16" xfId="0" applyFont="1" applyBorder="1" applyAlignment="1">
      <alignment horizontal="left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9" fillId="0" borderId="38" xfId="0" applyFont="1" applyFill="1" applyBorder="1" applyAlignment="1">
      <alignment horizontal="left" vertical="center" wrapText="1"/>
    </xf>
    <xf numFmtId="0" fontId="9" fillId="0" borderId="39" xfId="0" applyFont="1" applyFill="1" applyBorder="1" applyAlignment="1">
      <alignment horizontal="left" vertical="center" wrapText="1"/>
    </xf>
    <xf numFmtId="0" fontId="9" fillId="0" borderId="38" xfId="0" applyFont="1" applyFill="1" applyBorder="1" applyAlignment="1">
      <alignment horizontal="center" vertical="center"/>
    </xf>
    <xf numFmtId="0" fontId="9" fillId="0" borderId="39" xfId="0" applyFont="1" applyFill="1" applyBorder="1" applyAlignment="1">
      <alignment horizontal="center" vertical="center"/>
    </xf>
    <xf numFmtId="0" fontId="9" fillId="0" borderId="42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8" fillId="0" borderId="4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86" xfId="0" applyFont="1" applyBorder="1" applyAlignment="1">
      <alignment horizontal="left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3" fontId="13" fillId="3" borderId="3" xfId="0" applyNumberFormat="1" applyFont="1" applyFill="1" applyBorder="1" applyAlignment="1">
      <alignment horizontal="center" vertical="center" wrapText="1"/>
    </xf>
    <xf numFmtId="3" fontId="13" fillId="3" borderId="22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5" fillId="4" borderId="6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68" xfId="0" applyFont="1" applyBorder="1" applyAlignment="1">
      <alignment horizontal="left" vertical="center" wrapText="1"/>
    </xf>
    <xf numFmtId="0" fontId="0" fillId="0" borderId="69" xfId="0" applyFont="1" applyBorder="1" applyAlignment="1">
      <alignment horizontal="left" vertical="center" wrapText="1"/>
    </xf>
    <xf numFmtId="0" fontId="0" fillId="0" borderId="70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1" fillId="0" borderId="71" xfId="0" applyFont="1" applyBorder="1" applyAlignment="1">
      <alignment horizontal="left" vertical="center" wrapText="1"/>
    </xf>
    <xf numFmtId="0" fontId="11" fillId="0" borderId="7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1" fillId="0" borderId="66" xfId="0" applyFont="1" applyBorder="1" applyAlignment="1">
      <alignment horizontal="left" vertical="center" wrapText="1"/>
    </xf>
    <xf numFmtId="0" fontId="11" fillId="0" borderId="67" xfId="0" applyFont="1" applyBorder="1" applyAlignment="1">
      <alignment horizontal="left" vertical="center" wrapText="1"/>
    </xf>
    <xf numFmtId="0" fontId="0" fillId="3" borderId="5" xfId="0" applyFont="1" applyFill="1" applyBorder="1" applyAlignment="1">
      <alignment horizontal="center" vertical="center" wrapText="1"/>
    </xf>
    <xf numFmtId="0" fontId="0" fillId="3" borderId="7" xfId="0" applyFont="1" applyFill="1" applyBorder="1" applyAlignment="1">
      <alignment horizontal="center" vertical="center" wrapText="1"/>
    </xf>
    <xf numFmtId="3" fontId="13" fillId="3" borderId="1" xfId="0" applyNumberFormat="1" applyFont="1" applyFill="1" applyBorder="1" applyAlignment="1">
      <alignment horizontal="center" vertical="center" wrapText="1"/>
    </xf>
    <xf numFmtId="3" fontId="13" fillId="3" borderId="15" xfId="0" applyNumberFormat="1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left" wrapText="1"/>
    </xf>
    <xf numFmtId="0" fontId="2" fillId="0" borderId="20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75" xfId="0" applyFont="1" applyBorder="1" applyAlignment="1">
      <alignment horizontal="left" wrapText="1"/>
    </xf>
    <xf numFmtId="0" fontId="2" fillId="0" borderId="65" xfId="0" applyFont="1" applyBorder="1" applyAlignment="1">
      <alignment horizontal="left" wrapText="1"/>
    </xf>
    <xf numFmtId="0" fontId="2" fillId="0" borderId="76" xfId="0" applyFont="1" applyBorder="1" applyAlignment="1">
      <alignment horizontal="left" wrapText="1"/>
    </xf>
    <xf numFmtId="0" fontId="2" fillId="0" borderId="62" xfId="0" applyFont="1" applyBorder="1" applyAlignment="1">
      <alignment horizontal="left" vertical="center" wrapText="1"/>
    </xf>
    <xf numFmtId="0" fontId="2" fillId="0" borderId="77" xfId="0" applyFont="1" applyBorder="1" applyAlignment="1">
      <alignment horizontal="left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wrapText="1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54" xfId="0" applyFont="1" applyFill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9" fillId="0" borderId="38" xfId="0" applyFont="1" applyFill="1" applyBorder="1" applyAlignment="1">
      <alignment horizontal="left" vertical="center"/>
    </xf>
    <xf numFmtId="0" fontId="9" fillId="0" borderId="39" xfId="0" applyFont="1" applyFill="1" applyBorder="1" applyAlignment="1">
      <alignment horizontal="left" vertical="center"/>
    </xf>
    <xf numFmtId="3" fontId="13" fillId="0" borderId="3" xfId="0" applyNumberFormat="1" applyFont="1" applyBorder="1" applyAlignment="1">
      <alignment horizontal="center" vertical="center" wrapText="1"/>
    </xf>
    <xf numFmtId="3" fontId="13" fillId="0" borderId="22" xfId="0" applyNumberFormat="1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3" fontId="13" fillId="0" borderId="15" xfId="0" applyNumberFormat="1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49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11" fillId="0" borderId="83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0" fontId="11" fillId="0" borderId="8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3" borderId="49" xfId="0" applyFont="1" applyFill="1" applyBorder="1" applyAlignment="1">
      <alignment horizontal="center" vertical="center" wrapText="1"/>
    </xf>
    <xf numFmtId="0" fontId="0" fillId="3" borderId="47" xfId="0" applyFont="1" applyFill="1" applyBorder="1" applyAlignment="1">
      <alignment horizontal="center" vertical="center" wrapText="1"/>
    </xf>
    <xf numFmtId="0" fontId="8" fillId="0" borderId="87" xfId="0" applyFont="1" applyBorder="1" applyAlignment="1">
      <alignment horizontal="center" vertical="center" wrapText="1"/>
    </xf>
    <xf numFmtId="0" fontId="8" fillId="0" borderId="88" xfId="0" applyFont="1" applyBorder="1" applyAlignment="1">
      <alignment horizontal="center" vertical="center" wrapText="1"/>
    </xf>
    <xf numFmtId="0" fontId="8" fillId="0" borderId="89" xfId="0" applyFont="1" applyBorder="1" applyAlignment="1">
      <alignment horizontal="center" vertical="center" wrapText="1"/>
    </xf>
    <xf numFmtId="0" fontId="8" fillId="0" borderId="9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33</xdr:row>
      <xdr:rowOff>91440</xdr:rowOff>
    </xdr:from>
    <xdr:to>
      <xdr:col>1</xdr:col>
      <xdr:colOff>68580</xdr:colOff>
      <xdr:row>49</xdr:row>
      <xdr:rowOff>45720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9060" y="6309360"/>
          <a:ext cx="9220200" cy="2880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 i="1"/>
            <a:t>Mode</a:t>
          </a:r>
          <a:r>
            <a:rPr lang="fr-FR" sz="1100" b="1" i="1" baseline="0"/>
            <a:t> d'emploi en chantier...</a:t>
          </a:r>
          <a:endParaRPr lang="fr-FR" sz="1100" b="1" i="1"/>
        </a:p>
      </xdr:txBody>
    </xdr:sp>
    <xdr:clientData/>
  </xdr:twoCellAnchor>
  <xdr:twoCellAnchor editAs="oneCell">
    <xdr:from>
      <xdr:col>0</xdr:col>
      <xdr:colOff>2811780</xdr:colOff>
      <xdr:row>34</xdr:row>
      <xdr:rowOff>137160</xdr:rowOff>
    </xdr:from>
    <xdr:to>
      <xdr:col>0</xdr:col>
      <xdr:colOff>4930140</xdr:colOff>
      <xdr:row>50</xdr:row>
      <xdr:rowOff>76200</xdr:rowOff>
    </xdr:to>
    <xdr:pic>
      <xdr:nvPicPr>
        <xdr:cNvPr id="4" name="Image 3" descr="http://gif.toutimages.com/images/webmaster/construction/construction_036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1780" y="6537960"/>
          <a:ext cx="2118360" cy="2865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83821</xdr:colOff>
      <xdr:row>0</xdr:row>
      <xdr:rowOff>49298</xdr:rowOff>
    </xdr:from>
    <xdr:to>
      <xdr:col>1</xdr:col>
      <xdr:colOff>297181</xdr:colOff>
      <xdr:row>1</xdr:row>
      <xdr:rowOff>39317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1" y="49298"/>
          <a:ext cx="1394460" cy="38625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4</xdr:row>
      <xdr:rowOff>304800</xdr:rowOff>
    </xdr:to>
    <xdr:sp macro="" textlink="">
      <xdr:nvSpPr>
        <xdr:cNvPr id="1027" name="AutoShape 3" descr="Fichier:CEA logotype2012.png">
          <a:extLst>
            <a:ext uri="{FF2B5EF4-FFF2-40B4-BE49-F238E27FC236}">
              <a16:creationId xmlns:a16="http://schemas.microsoft.com/office/drawing/2014/main" id="{00000000-0008-0000-02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7353300" y="84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419100</xdr:colOff>
      <xdr:row>0</xdr:row>
      <xdr:rowOff>0</xdr:rowOff>
    </xdr:from>
    <xdr:to>
      <xdr:col>12</xdr:col>
      <xdr:colOff>690578</xdr:colOff>
      <xdr:row>2</xdr:row>
      <xdr:rowOff>338326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93040" y="0"/>
          <a:ext cx="1185878" cy="917446"/>
        </a:xfrm>
        <a:prstGeom prst="rect">
          <a:avLst/>
        </a:prstGeom>
      </xdr:spPr>
    </xdr:pic>
    <xdr:clientData/>
  </xdr:twoCellAnchor>
  <xdr:twoCellAnchor editAs="oneCell">
    <xdr:from>
      <xdr:col>4</xdr:col>
      <xdr:colOff>39182</xdr:colOff>
      <xdr:row>0</xdr:row>
      <xdr:rowOff>366390</xdr:rowOff>
    </xdr:from>
    <xdr:to>
      <xdr:col>5</xdr:col>
      <xdr:colOff>146541</xdr:colOff>
      <xdr:row>2</xdr:row>
      <xdr:rowOff>121920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0002" y="366390"/>
          <a:ext cx="899839" cy="33465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18</xdr:row>
      <xdr:rowOff>15240</xdr:rowOff>
    </xdr:from>
    <xdr:to>
      <xdr:col>5</xdr:col>
      <xdr:colOff>579120</xdr:colOff>
      <xdr:row>22</xdr:row>
      <xdr:rowOff>53340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52400" y="4434840"/>
          <a:ext cx="7780020" cy="792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 i="1" u="sng">
              <a:solidFill>
                <a:srgbClr val="FF0000"/>
              </a:solidFill>
            </a:rPr>
            <a:t>Commentaires éventuels sur les prix de vente définitifs fixés</a:t>
          </a:r>
          <a:r>
            <a:rPr lang="fr-FR" sz="1100" b="1" i="1" u="sng" baseline="0">
              <a:solidFill>
                <a:srgbClr val="FF0000"/>
              </a:solidFill>
            </a:rPr>
            <a:t> </a:t>
          </a:r>
          <a:r>
            <a:rPr lang="fr-FR" sz="1100" b="0" baseline="0">
              <a:solidFill>
                <a:sysClr val="windowText" lastClr="000000"/>
              </a:solidFill>
            </a:rPr>
            <a:t>:</a:t>
          </a:r>
          <a:endParaRPr lang="fr-FR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144780</xdr:colOff>
      <xdr:row>22</xdr:row>
      <xdr:rowOff>106680</xdr:rowOff>
    </xdr:from>
    <xdr:to>
      <xdr:col>5</xdr:col>
      <xdr:colOff>411480</xdr:colOff>
      <xdr:row>25</xdr:row>
      <xdr:rowOff>464820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44780" y="5280660"/>
          <a:ext cx="7620000" cy="922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 i="1" u="sng">
              <a:solidFill>
                <a:srgbClr val="FF0000"/>
              </a:solidFill>
            </a:rPr>
            <a:t>Commentaires éventuels sur durée d'amortissement et</a:t>
          </a:r>
          <a:r>
            <a:rPr lang="fr-FR" sz="1100" b="1" i="1" u="sng" baseline="0">
              <a:solidFill>
                <a:srgbClr val="FF0000"/>
              </a:solidFill>
            </a:rPr>
            <a:t> sur nombre de sessions par an </a:t>
          </a:r>
          <a:r>
            <a:rPr lang="fr-FR" sz="1100" b="1" i="1" u="sng">
              <a:solidFill>
                <a:srgbClr val="FF0000"/>
              </a:solidFill>
            </a:rPr>
            <a:t>retenus (notamment si durée d'amo différent valeur par défaut)</a:t>
          </a:r>
          <a:r>
            <a:rPr lang="fr-FR" sz="1100" b="0" baseline="0">
              <a:solidFill>
                <a:sysClr val="windowText" lastClr="000000"/>
              </a:solidFill>
            </a:rPr>
            <a:t>: </a:t>
          </a:r>
          <a:endParaRPr lang="fr-FR" sz="11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1912620</xdr:colOff>
      <xdr:row>13</xdr:row>
      <xdr:rowOff>106680</xdr:rowOff>
    </xdr:from>
    <xdr:to>
      <xdr:col>3</xdr:col>
      <xdr:colOff>327660</xdr:colOff>
      <xdr:row>24</xdr:row>
      <xdr:rowOff>68580</xdr:rowOff>
    </xdr:to>
    <xdr:sp macro="" textlink="">
      <xdr:nvSpPr>
        <xdr:cNvPr id="3" name="Ellips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912620" y="2560320"/>
          <a:ext cx="2278380" cy="219456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91440</xdr:colOff>
      <xdr:row>9</xdr:row>
      <xdr:rowOff>53340</xdr:rowOff>
    </xdr:from>
    <xdr:to>
      <xdr:col>8</xdr:col>
      <xdr:colOff>754380</xdr:colOff>
      <xdr:row>10</xdr:row>
      <xdr:rowOff>152400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6499860" y="1744980"/>
          <a:ext cx="2247900" cy="297180"/>
        </a:xfrm>
        <a:prstGeom prst="rect">
          <a:avLst/>
        </a:prstGeom>
        <a:solidFill>
          <a:schemeClr val="lt1"/>
        </a:solidFill>
        <a:ln w="254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 baseline="0">
              <a:solidFill>
                <a:srgbClr val="FF0000"/>
              </a:solidFill>
            </a:rPr>
            <a:t>Coût journalier à utiliser par défaut </a:t>
          </a:r>
          <a:endParaRPr lang="fr-F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114300</xdr:colOff>
      <xdr:row>10</xdr:row>
      <xdr:rowOff>3810</xdr:rowOff>
    </xdr:from>
    <xdr:to>
      <xdr:col>6</xdr:col>
      <xdr:colOff>91440</xdr:colOff>
      <xdr:row>15</xdr:row>
      <xdr:rowOff>160020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>
          <a:stCxn id="2" idx="1"/>
        </xdr:cNvCxnSpPr>
      </xdr:nvCxnSpPr>
      <xdr:spPr>
        <a:xfrm flipH="1">
          <a:off x="3977640" y="1893570"/>
          <a:ext cx="2522220" cy="110871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83821</xdr:colOff>
      <xdr:row>0</xdr:row>
      <xdr:rowOff>49298</xdr:rowOff>
    </xdr:from>
    <xdr:to>
      <xdr:col>1</xdr:col>
      <xdr:colOff>297181</xdr:colOff>
      <xdr:row>1</xdr:row>
      <xdr:rowOff>39317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1" y="49298"/>
          <a:ext cx="1394460" cy="38625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4</xdr:row>
      <xdr:rowOff>304800</xdr:rowOff>
    </xdr:to>
    <xdr:sp macro="" textlink="">
      <xdr:nvSpPr>
        <xdr:cNvPr id="3" name="AutoShape 3" descr="Fichier:CEA logotype2012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7353300" y="145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419100</xdr:colOff>
      <xdr:row>0</xdr:row>
      <xdr:rowOff>0</xdr:rowOff>
    </xdr:from>
    <xdr:to>
      <xdr:col>12</xdr:col>
      <xdr:colOff>690578</xdr:colOff>
      <xdr:row>2</xdr:row>
      <xdr:rowOff>338326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77800" y="0"/>
          <a:ext cx="1185878" cy="917446"/>
        </a:xfrm>
        <a:prstGeom prst="rect">
          <a:avLst/>
        </a:prstGeom>
      </xdr:spPr>
    </xdr:pic>
    <xdr:clientData/>
  </xdr:twoCellAnchor>
  <xdr:twoCellAnchor editAs="oneCell">
    <xdr:from>
      <xdr:col>4</xdr:col>
      <xdr:colOff>39182</xdr:colOff>
      <xdr:row>0</xdr:row>
      <xdr:rowOff>366390</xdr:rowOff>
    </xdr:from>
    <xdr:to>
      <xdr:col>5</xdr:col>
      <xdr:colOff>146541</xdr:colOff>
      <xdr:row>2</xdr:row>
      <xdr:rowOff>121920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0002" y="366390"/>
          <a:ext cx="899839" cy="33465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17</xdr:row>
      <xdr:rowOff>99060</xdr:rowOff>
    </xdr:from>
    <xdr:to>
      <xdr:col>5</xdr:col>
      <xdr:colOff>541020</xdr:colOff>
      <xdr:row>25</xdr:row>
      <xdr:rowOff>403860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152400" y="4328160"/>
          <a:ext cx="7741920" cy="1813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 i="1" u="sng">
              <a:solidFill>
                <a:srgbClr val="FF0000"/>
              </a:solidFill>
            </a:rPr>
            <a:t>Commentaires éventuels partenaire 1</a:t>
          </a:r>
          <a:r>
            <a:rPr lang="fr-FR" sz="1100" b="0" baseline="0">
              <a:solidFill>
                <a:srgbClr val="FF0000"/>
              </a:solidFill>
            </a:rPr>
            <a:t>:</a:t>
          </a:r>
          <a:endParaRPr lang="fr-FR" sz="1100" b="0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1912620</xdr:colOff>
      <xdr:row>13</xdr:row>
      <xdr:rowOff>106680</xdr:rowOff>
    </xdr:from>
    <xdr:to>
      <xdr:col>3</xdr:col>
      <xdr:colOff>327660</xdr:colOff>
      <xdr:row>24</xdr:row>
      <xdr:rowOff>68580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912620" y="2560320"/>
          <a:ext cx="2278380" cy="218694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91440</xdr:colOff>
      <xdr:row>9</xdr:row>
      <xdr:rowOff>53340</xdr:rowOff>
    </xdr:from>
    <xdr:to>
      <xdr:col>8</xdr:col>
      <xdr:colOff>754380</xdr:colOff>
      <xdr:row>10</xdr:row>
      <xdr:rowOff>152400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6499860" y="1744980"/>
          <a:ext cx="2247900" cy="297180"/>
        </a:xfrm>
        <a:prstGeom prst="rect">
          <a:avLst/>
        </a:prstGeom>
        <a:solidFill>
          <a:schemeClr val="lt1"/>
        </a:solidFill>
        <a:ln w="254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 baseline="0">
              <a:solidFill>
                <a:srgbClr val="FF0000"/>
              </a:solidFill>
            </a:rPr>
            <a:t>Coût journalier à utiliser par défaut </a:t>
          </a:r>
          <a:endParaRPr lang="fr-F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114300</xdr:colOff>
      <xdr:row>10</xdr:row>
      <xdr:rowOff>3810</xdr:rowOff>
    </xdr:from>
    <xdr:to>
      <xdr:col>6</xdr:col>
      <xdr:colOff>91440</xdr:colOff>
      <xdr:row>15</xdr:row>
      <xdr:rowOff>160020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>
          <a:stCxn id="3" idx="1"/>
        </xdr:cNvCxnSpPr>
      </xdr:nvCxnSpPr>
      <xdr:spPr>
        <a:xfrm flipH="1">
          <a:off x="3977640" y="1893570"/>
          <a:ext cx="2522220" cy="110871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49298</xdr:rowOff>
    </xdr:from>
    <xdr:ext cx="1394460" cy="386259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1" y="49298"/>
          <a:ext cx="1394460" cy="386259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304800" cy="304800"/>
    <xdr:sp macro="" textlink="">
      <xdr:nvSpPr>
        <xdr:cNvPr id="3" name="AutoShape 3" descr="Fichier:CEA logotype2012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396240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419100</xdr:colOff>
      <xdr:row>0</xdr:row>
      <xdr:rowOff>0</xdr:rowOff>
    </xdr:from>
    <xdr:ext cx="1185878" cy="917446"/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36380" y="0"/>
          <a:ext cx="1185878" cy="917446"/>
        </a:xfrm>
        <a:prstGeom prst="rect">
          <a:avLst/>
        </a:prstGeom>
      </xdr:spPr>
    </xdr:pic>
    <xdr:clientData/>
  </xdr:oneCellAnchor>
  <xdr:oneCellAnchor>
    <xdr:from>
      <xdr:col>4</xdr:col>
      <xdr:colOff>39182</xdr:colOff>
      <xdr:row>0</xdr:row>
      <xdr:rowOff>366390</xdr:rowOff>
    </xdr:from>
    <xdr:ext cx="899839" cy="334650"/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09102" y="183510"/>
          <a:ext cx="899839" cy="334650"/>
        </a:xfrm>
        <a:prstGeom prst="rect">
          <a:avLst/>
        </a:prstGeom>
      </xdr:spPr>
    </xdr:pic>
    <xdr:clientData/>
  </xdr:oneCellAnchor>
  <xdr:twoCellAnchor>
    <xdr:from>
      <xdr:col>0</xdr:col>
      <xdr:colOff>152400</xdr:colOff>
      <xdr:row>17</xdr:row>
      <xdr:rowOff>99060</xdr:rowOff>
    </xdr:from>
    <xdr:to>
      <xdr:col>5</xdr:col>
      <xdr:colOff>541020</xdr:colOff>
      <xdr:row>25</xdr:row>
      <xdr:rowOff>480060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152400" y="4328160"/>
          <a:ext cx="7741920" cy="1889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 i="1" u="sng">
              <a:solidFill>
                <a:srgbClr val="FF0000"/>
              </a:solidFill>
            </a:rPr>
            <a:t>Commentaires éventuels partenaire 2</a:t>
          </a:r>
          <a:r>
            <a:rPr lang="fr-FR" sz="1100" b="0" baseline="0">
              <a:solidFill>
                <a:sysClr val="windowText" lastClr="000000"/>
              </a:solidFill>
            </a:rPr>
            <a:t>:</a:t>
          </a:r>
          <a:endParaRPr lang="fr-FR" sz="11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1912620</xdr:colOff>
      <xdr:row>13</xdr:row>
      <xdr:rowOff>106680</xdr:rowOff>
    </xdr:from>
    <xdr:to>
      <xdr:col>3</xdr:col>
      <xdr:colOff>327660</xdr:colOff>
      <xdr:row>24</xdr:row>
      <xdr:rowOff>68580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792480" y="2484120"/>
          <a:ext cx="1912620" cy="197358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91440</xdr:colOff>
      <xdr:row>9</xdr:row>
      <xdr:rowOff>53340</xdr:rowOff>
    </xdr:from>
    <xdr:to>
      <xdr:col>8</xdr:col>
      <xdr:colOff>754380</xdr:colOff>
      <xdr:row>10</xdr:row>
      <xdr:rowOff>152400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4846320" y="1699260"/>
          <a:ext cx="2247900" cy="281940"/>
        </a:xfrm>
        <a:prstGeom prst="rect">
          <a:avLst/>
        </a:prstGeom>
        <a:solidFill>
          <a:schemeClr val="lt1"/>
        </a:solidFill>
        <a:ln w="254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 baseline="0">
              <a:solidFill>
                <a:srgbClr val="FF0000"/>
              </a:solidFill>
            </a:rPr>
            <a:t>Coût journalier à utiliser par défaut </a:t>
          </a:r>
          <a:endParaRPr lang="fr-F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114300</xdr:colOff>
      <xdr:row>10</xdr:row>
      <xdr:rowOff>3810</xdr:rowOff>
    </xdr:from>
    <xdr:to>
      <xdr:col>6</xdr:col>
      <xdr:colOff>91440</xdr:colOff>
      <xdr:row>15</xdr:row>
      <xdr:rowOff>160020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CxnSpPr>
          <a:stCxn id="3" idx="1"/>
        </xdr:cNvCxnSpPr>
      </xdr:nvCxnSpPr>
      <xdr:spPr>
        <a:xfrm flipH="1">
          <a:off x="2491740" y="1832610"/>
          <a:ext cx="2354580" cy="107061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83821</xdr:colOff>
      <xdr:row>0</xdr:row>
      <xdr:rowOff>49298</xdr:rowOff>
    </xdr:from>
    <xdr:to>
      <xdr:col>1</xdr:col>
      <xdr:colOff>297181</xdr:colOff>
      <xdr:row>1</xdr:row>
      <xdr:rowOff>39317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1" y="49298"/>
          <a:ext cx="1394460" cy="38625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4</xdr:row>
      <xdr:rowOff>304800</xdr:rowOff>
    </xdr:to>
    <xdr:sp macro="" textlink="">
      <xdr:nvSpPr>
        <xdr:cNvPr id="3" name="AutoShape 3" descr="Fichier:CEA logotype2012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7353300" y="145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419100</xdr:colOff>
      <xdr:row>0</xdr:row>
      <xdr:rowOff>0</xdr:rowOff>
    </xdr:from>
    <xdr:to>
      <xdr:col>12</xdr:col>
      <xdr:colOff>690578</xdr:colOff>
      <xdr:row>2</xdr:row>
      <xdr:rowOff>338326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77800" y="0"/>
          <a:ext cx="1185878" cy="917446"/>
        </a:xfrm>
        <a:prstGeom prst="rect">
          <a:avLst/>
        </a:prstGeom>
      </xdr:spPr>
    </xdr:pic>
    <xdr:clientData/>
  </xdr:twoCellAnchor>
  <xdr:twoCellAnchor editAs="oneCell">
    <xdr:from>
      <xdr:col>4</xdr:col>
      <xdr:colOff>39182</xdr:colOff>
      <xdr:row>0</xdr:row>
      <xdr:rowOff>366390</xdr:rowOff>
    </xdr:from>
    <xdr:to>
      <xdr:col>5</xdr:col>
      <xdr:colOff>146541</xdr:colOff>
      <xdr:row>2</xdr:row>
      <xdr:rowOff>121920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0002" y="366390"/>
          <a:ext cx="899839" cy="33465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17</xdr:row>
      <xdr:rowOff>99060</xdr:rowOff>
    </xdr:from>
    <xdr:to>
      <xdr:col>5</xdr:col>
      <xdr:colOff>541020</xdr:colOff>
      <xdr:row>22</xdr:row>
      <xdr:rowOff>53340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 txBox="1"/>
      </xdr:nvSpPr>
      <xdr:spPr>
        <a:xfrm>
          <a:off x="152400" y="4328160"/>
          <a:ext cx="7741920" cy="899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 i="1" u="sng">
              <a:solidFill>
                <a:srgbClr val="FF0000"/>
              </a:solidFill>
            </a:rPr>
            <a:t>Commentaires éventuels sur les prix de vente définitifs fixés et sur la répartition des recettes entre unités impliquées</a:t>
          </a:r>
          <a:r>
            <a:rPr lang="fr-FR" sz="1100" b="1" i="1" u="sng" baseline="0">
              <a:solidFill>
                <a:srgbClr val="FF0000"/>
              </a:solidFill>
            </a:rPr>
            <a:t> </a:t>
          </a:r>
          <a:r>
            <a:rPr lang="fr-FR" sz="1100" b="0" baseline="0">
              <a:solidFill>
                <a:sysClr val="windowText" lastClr="000000"/>
              </a:solidFill>
            </a:rPr>
            <a:t>:</a:t>
          </a:r>
          <a:endParaRPr lang="fr-FR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144780</xdr:colOff>
      <xdr:row>22</xdr:row>
      <xdr:rowOff>106680</xdr:rowOff>
    </xdr:from>
    <xdr:to>
      <xdr:col>5</xdr:col>
      <xdr:colOff>411480</xdr:colOff>
      <xdr:row>25</xdr:row>
      <xdr:rowOff>464820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 txBox="1"/>
      </xdr:nvSpPr>
      <xdr:spPr>
        <a:xfrm>
          <a:off x="144780" y="5280660"/>
          <a:ext cx="7620000" cy="922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 i="1" u="sng">
              <a:solidFill>
                <a:srgbClr val="FF0000"/>
              </a:solidFill>
            </a:rPr>
            <a:t>Commentaires éventuels sur durée d'amortissement et</a:t>
          </a:r>
          <a:r>
            <a:rPr lang="fr-FR" sz="1100" b="1" i="1" u="sng" baseline="0">
              <a:solidFill>
                <a:srgbClr val="FF0000"/>
              </a:solidFill>
            </a:rPr>
            <a:t> sur nombre de sessions par an </a:t>
          </a:r>
          <a:r>
            <a:rPr lang="fr-FR" sz="1100" b="1" i="1" u="sng">
              <a:solidFill>
                <a:srgbClr val="FF0000"/>
              </a:solidFill>
            </a:rPr>
            <a:t>retenus (notamment si durée d'amo différent valeur par défaut)</a:t>
          </a:r>
          <a:r>
            <a:rPr lang="fr-FR" sz="1100" b="0" baseline="0">
              <a:solidFill>
                <a:sysClr val="windowText" lastClr="000000"/>
              </a:solidFill>
            </a:rPr>
            <a:t>: </a:t>
          </a:r>
          <a:endParaRPr lang="fr-FR" sz="1100" b="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29"/>
  <sheetViews>
    <sheetView workbookViewId="0">
      <selection activeCell="C13" sqref="C13"/>
    </sheetView>
  </sheetViews>
  <sheetFormatPr baseColWidth="10" defaultRowHeight="15" x14ac:dyDescent="0.25"/>
  <cols>
    <col min="1" max="1" width="134.85546875" bestFit="1" customWidth="1"/>
  </cols>
  <sheetData>
    <row r="1" spans="1:1" ht="21.75" thickBot="1" x14ac:dyDescent="0.4">
      <c r="A1" s="297" t="s">
        <v>355</v>
      </c>
    </row>
    <row r="4" spans="1:1" ht="15.75" thickBot="1" x14ac:dyDescent="0.3"/>
    <row r="5" spans="1:1" ht="15.75" x14ac:dyDescent="0.25">
      <c r="A5" s="293" t="s">
        <v>359</v>
      </c>
    </row>
    <row r="6" spans="1:1" x14ac:dyDescent="0.25">
      <c r="A6" s="294" t="s">
        <v>463</v>
      </c>
    </row>
    <row r="7" spans="1:1" x14ac:dyDescent="0.25">
      <c r="A7" s="295" t="s">
        <v>353</v>
      </c>
    </row>
    <row r="8" spans="1:1" x14ac:dyDescent="0.25">
      <c r="A8" s="296" t="s">
        <v>354</v>
      </c>
    </row>
    <row r="9" spans="1:1" x14ac:dyDescent="0.25">
      <c r="A9" s="298" t="s">
        <v>352</v>
      </c>
    </row>
    <row r="10" spans="1:1" ht="15.75" thickBot="1" x14ac:dyDescent="0.3">
      <c r="A10" s="299" t="s">
        <v>356</v>
      </c>
    </row>
    <row r="11" spans="1:1" ht="15.75" thickBot="1" x14ac:dyDescent="0.3"/>
    <row r="12" spans="1:1" ht="15.75" x14ac:dyDescent="0.25">
      <c r="A12" s="293" t="s">
        <v>358</v>
      </c>
    </row>
    <row r="13" spans="1:1" x14ac:dyDescent="0.25">
      <c r="A13" s="327" t="s">
        <v>361</v>
      </c>
    </row>
    <row r="14" spans="1:1" x14ac:dyDescent="0.25">
      <c r="A14" s="328" t="s">
        <v>360</v>
      </c>
    </row>
    <row r="15" spans="1:1" ht="15.75" thickBot="1" x14ac:dyDescent="0.3">
      <c r="A15" s="329" t="s">
        <v>362</v>
      </c>
    </row>
    <row r="16" spans="1:1" ht="15.75" thickBot="1" x14ac:dyDescent="0.3"/>
    <row r="17" spans="1:1" ht="15.75" x14ac:dyDescent="0.25">
      <c r="A17" s="293" t="s">
        <v>363</v>
      </c>
    </row>
    <row r="18" spans="1:1" x14ac:dyDescent="0.25">
      <c r="A18" s="327" t="s">
        <v>369</v>
      </c>
    </row>
    <row r="19" spans="1:1" x14ac:dyDescent="0.25">
      <c r="A19" s="327" t="s">
        <v>364</v>
      </c>
    </row>
    <row r="20" spans="1:1" x14ac:dyDescent="0.25">
      <c r="A20" s="327" t="s">
        <v>365</v>
      </c>
    </row>
    <row r="21" spans="1:1" x14ac:dyDescent="0.25">
      <c r="A21" s="327" t="s">
        <v>366</v>
      </c>
    </row>
    <row r="22" spans="1:1" x14ac:dyDescent="0.25">
      <c r="A22" s="327" t="s">
        <v>367</v>
      </c>
    </row>
    <row r="23" spans="1:1" ht="15.75" thickBot="1" x14ac:dyDescent="0.3">
      <c r="A23" s="330" t="s">
        <v>368</v>
      </c>
    </row>
    <row r="24" spans="1:1" ht="15.75" thickBot="1" x14ac:dyDescent="0.3"/>
    <row r="25" spans="1:1" ht="15.75" x14ac:dyDescent="0.25">
      <c r="A25" s="293" t="s">
        <v>370</v>
      </c>
    </row>
    <row r="26" spans="1:1" x14ac:dyDescent="0.25">
      <c r="A26" s="327" t="s">
        <v>377</v>
      </c>
    </row>
    <row r="27" spans="1:1" x14ac:dyDescent="0.25">
      <c r="A27" s="327" t="s">
        <v>378</v>
      </c>
    </row>
    <row r="28" spans="1:1" ht="15.75" thickBot="1" x14ac:dyDescent="0.3">
      <c r="A28" s="330" t="s">
        <v>379</v>
      </c>
    </row>
    <row r="29" spans="1:1" x14ac:dyDescent="0.25">
      <c r="A29" s="327"/>
    </row>
  </sheetData>
  <pageMargins left="0.7" right="0.7" top="0.75" bottom="0.75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87"/>
  <sheetViews>
    <sheetView topLeftCell="B74" workbookViewId="0">
      <selection activeCell="I88" sqref="I88"/>
    </sheetView>
  </sheetViews>
  <sheetFormatPr baseColWidth="10" defaultRowHeight="15" x14ac:dyDescent="0.25"/>
  <cols>
    <col min="1" max="1" width="19" customWidth="1"/>
    <col min="2" max="2" width="28.85546875" customWidth="1"/>
    <col min="3" max="3" width="26" bestFit="1" customWidth="1"/>
    <col min="4" max="4" width="63.85546875" customWidth="1"/>
    <col min="5" max="5" width="25" customWidth="1"/>
  </cols>
  <sheetData>
    <row r="1" spans="1:9" ht="32.25" thickBot="1" x14ac:dyDescent="0.3">
      <c r="A1" s="261" t="s">
        <v>224</v>
      </c>
      <c r="B1" s="231" t="s">
        <v>225</v>
      </c>
      <c r="C1" s="232" t="s">
        <v>226</v>
      </c>
      <c r="D1" s="231" t="s">
        <v>227</v>
      </c>
      <c r="E1" s="233" t="s">
        <v>228</v>
      </c>
      <c r="G1" s="260" t="s">
        <v>335</v>
      </c>
    </row>
    <row r="2" spans="1:9" ht="16.5" hidden="1" thickBot="1" x14ac:dyDescent="0.3">
      <c r="A2" s="262" t="s">
        <v>336</v>
      </c>
      <c r="B2" s="263" t="s">
        <v>336</v>
      </c>
      <c r="C2" s="266" t="s">
        <v>340</v>
      </c>
      <c r="D2" s="264" t="s">
        <v>336</v>
      </c>
      <c r="E2" s="265" t="s">
        <v>336</v>
      </c>
      <c r="G2" s="260"/>
    </row>
    <row r="3" spans="1:9" ht="16.5" hidden="1" thickBot="1" x14ac:dyDescent="0.3">
      <c r="A3" s="262" t="s">
        <v>336</v>
      </c>
      <c r="B3" s="286" t="s">
        <v>336</v>
      </c>
      <c r="C3" s="287" t="s">
        <v>337</v>
      </c>
      <c r="D3" s="263" t="s">
        <v>336</v>
      </c>
      <c r="E3" s="265" t="s">
        <v>336</v>
      </c>
      <c r="G3" s="260"/>
    </row>
    <row r="4" spans="1:9" ht="16.5" hidden="1" thickBot="1" x14ac:dyDescent="0.3">
      <c r="A4" s="262" t="s">
        <v>336</v>
      </c>
      <c r="B4" s="263" t="s">
        <v>336</v>
      </c>
      <c r="C4" s="284" t="s">
        <v>339</v>
      </c>
      <c r="D4" s="264" t="s">
        <v>336</v>
      </c>
      <c r="E4" s="265" t="s">
        <v>336</v>
      </c>
    </row>
    <row r="5" spans="1:9" ht="14.45" customHeight="1" x14ac:dyDescent="0.25">
      <c r="A5" s="347" t="s">
        <v>229</v>
      </c>
      <c r="B5" s="353" t="s">
        <v>230</v>
      </c>
      <c r="C5" s="234" t="s">
        <v>425</v>
      </c>
      <c r="D5" s="235" t="s">
        <v>231</v>
      </c>
      <c r="E5" s="236" t="s">
        <v>334</v>
      </c>
      <c r="G5" s="259" t="s">
        <v>334</v>
      </c>
      <c r="I5" t="s">
        <v>480</v>
      </c>
    </row>
    <row r="6" spans="1:9" ht="14.45" customHeight="1" x14ac:dyDescent="0.25">
      <c r="A6" s="348"/>
      <c r="B6" s="354"/>
      <c r="C6" s="237" t="s">
        <v>381</v>
      </c>
      <c r="D6" s="238" t="s">
        <v>232</v>
      </c>
      <c r="E6" s="239" t="s">
        <v>233</v>
      </c>
      <c r="G6" s="258" t="s">
        <v>233</v>
      </c>
      <c r="I6" t="s">
        <v>480</v>
      </c>
    </row>
    <row r="7" spans="1:9" ht="14.45" customHeight="1" thickBot="1" x14ac:dyDescent="0.3">
      <c r="A7" s="348"/>
      <c r="B7" s="355"/>
      <c r="C7" s="240" t="s">
        <v>382</v>
      </c>
      <c r="D7" s="241" t="s">
        <v>234</v>
      </c>
      <c r="E7" s="242" t="s">
        <v>233</v>
      </c>
      <c r="I7" t="s">
        <v>480</v>
      </c>
    </row>
    <row r="8" spans="1:9" ht="14.45" customHeight="1" x14ac:dyDescent="0.25">
      <c r="A8" s="348"/>
      <c r="B8" s="353" t="s">
        <v>235</v>
      </c>
      <c r="C8" s="234" t="s">
        <v>426</v>
      </c>
      <c r="D8" s="235" t="s">
        <v>236</v>
      </c>
      <c r="E8" s="236" t="s">
        <v>334</v>
      </c>
      <c r="I8" t="s">
        <v>481</v>
      </c>
    </row>
    <row r="9" spans="1:9" ht="25.5" x14ac:dyDescent="0.25">
      <c r="A9" s="348"/>
      <c r="B9" s="354"/>
      <c r="C9" s="237" t="s">
        <v>383</v>
      </c>
      <c r="D9" s="238" t="s">
        <v>237</v>
      </c>
      <c r="E9" s="239" t="s">
        <v>233</v>
      </c>
      <c r="I9" t="s">
        <v>481</v>
      </c>
    </row>
    <row r="10" spans="1:9" ht="14.45" customHeight="1" x14ac:dyDescent="0.25">
      <c r="A10" s="348"/>
      <c r="B10" s="354"/>
      <c r="C10" s="237" t="s">
        <v>384</v>
      </c>
      <c r="D10" s="238" t="s">
        <v>238</v>
      </c>
      <c r="E10" s="239" t="s">
        <v>233</v>
      </c>
      <c r="I10" t="s">
        <v>481</v>
      </c>
    </row>
    <row r="11" spans="1:9" ht="14.45" customHeight="1" thickBot="1" x14ac:dyDescent="0.3">
      <c r="A11" s="348"/>
      <c r="B11" s="355"/>
      <c r="C11" s="240" t="s">
        <v>385</v>
      </c>
      <c r="D11" s="241" t="s">
        <v>239</v>
      </c>
      <c r="E11" s="242" t="s">
        <v>233</v>
      </c>
      <c r="I11" t="s">
        <v>481</v>
      </c>
    </row>
    <row r="12" spans="1:9" ht="14.45" customHeight="1" x14ac:dyDescent="0.25">
      <c r="A12" s="348"/>
      <c r="B12" s="353" t="s">
        <v>240</v>
      </c>
      <c r="C12" s="243" t="s">
        <v>386</v>
      </c>
      <c r="D12" s="244" t="s">
        <v>241</v>
      </c>
      <c r="E12" s="245" t="s">
        <v>233</v>
      </c>
      <c r="I12" t="s">
        <v>482</v>
      </c>
    </row>
    <row r="13" spans="1:9" ht="25.5" x14ac:dyDescent="0.25">
      <c r="A13" s="348"/>
      <c r="B13" s="354"/>
      <c r="C13" s="246" t="s">
        <v>427</v>
      </c>
      <c r="D13" s="247" t="s">
        <v>242</v>
      </c>
      <c r="E13" s="248" t="s">
        <v>334</v>
      </c>
      <c r="I13" t="s">
        <v>482</v>
      </c>
    </row>
    <row r="14" spans="1:9" ht="14.45" customHeight="1" x14ac:dyDescent="0.25">
      <c r="A14" s="348"/>
      <c r="B14" s="354"/>
      <c r="C14" s="246" t="s">
        <v>428</v>
      </c>
      <c r="D14" s="247" t="s">
        <v>243</v>
      </c>
      <c r="E14" s="248" t="s">
        <v>334</v>
      </c>
      <c r="I14" t="s">
        <v>482</v>
      </c>
    </row>
    <row r="15" spans="1:9" ht="25.5" x14ac:dyDescent="0.25">
      <c r="A15" s="348"/>
      <c r="B15" s="354"/>
      <c r="C15" s="246" t="s">
        <v>429</v>
      </c>
      <c r="D15" s="247" t="s">
        <v>244</v>
      </c>
      <c r="E15" s="248" t="s">
        <v>334</v>
      </c>
      <c r="I15" t="s">
        <v>482</v>
      </c>
    </row>
    <row r="16" spans="1:9" ht="14.45" customHeight="1" x14ac:dyDescent="0.25">
      <c r="A16" s="348"/>
      <c r="B16" s="354"/>
      <c r="C16" s="246" t="s">
        <v>430</v>
      </c>
      <c r="D16" s="247" t="s">
        <v>245</v>
      </c>
      <c r="E16" s="248" t="s">
        <v>334</v>
      </c>
      <c r="I16" t="s">
        <v>482</v>
      </c>
    </row>
    <row r="17" spans="1:9" ht="15.75" thickBot="1" x14ac:dyDescent="0.3">
      <c r="A17" s="348"/>
      <c r="B17" s="355"/>
      <c r="C17" s="240" t="s">
        <v>387</v>
      </c>
      <c r="D17" s="241" t="s">
        <v>246</v>
      </c>
      <c r="E17" s="242" t="s">
        <v>233</v>
      </c>
      <c r="I17" t="s">
        <v>482</v>
      </c>
    </row>
    <row r="18" spans="1:9" ht="14.45" customHeight="1" x14ac:dyDescent="0.25">
      <c r="A18" s="348"/>
      <c r="B18" s="353" t="s">
        <v>247</v>
      </c>
      <c r="C18" s="243" t="s">
        <v>388</v>
      </c>
      <c r="D18" s="244" t="s">
        <v>248</v>
      </c>
      <c r="E18" s="245" t="s">
        <v>233</v>
      </c>
      <c r="I18" t="s">
        <v>483</v>
      </c>
    </row>
    <row r="19" spans="1:9" ht="14.45" customHeight="1" x14ac:dyDescent="0.25">
      <c r="A19" s="348"/>
      <c r="B19" s="354"/>
      <c r="C19" s="237" t="s">
        <v>389</v>
      </c>
      <c r="D19" s="238" t="s">
        <v>249</v>
      </c>
      <c r="E19" s="239" t="s">
        <v>233</v>
      </c>
      <c r="I19" t="s">
        <v>483</v>
      </c>
    </row>
    <row r="20" spans="1:9" ht="25.5" x14ac:dyDescent="0.25">
      <c r="A20" s="348"/>
      <c r="B20" s="354"/>
      <c r="C20" s="246" t="s">
        <v>431</v>
      </c>
      <c r="D20" s="247" t="s">
        <v>250</v>
      </c>
      <c r="E20" s="248" t="s">
        <v>334</v>
      </c>
      <c r="I20" t="s">
        <v>483</v>
      </c>
    </row>
    <row r="21" spans="1:9" ht="14.45" customHeight="1" thickBot="1" x14ac:dyDescent="0.3">
      <c r="A21" s="348"/>
      <c r="B21" s="355"/>
      <c r="C21" s="240" t="s">
        <v>390</v>
      </c>
      <c r="D21" s="241" t="s">
        <v>251</v>
      </c>
      <c r="E21" s="242" t="s">
        <v>233</v>
      </c>
      <c r="I21" t="s">
        <v>483</v>
      </c>
    </row>
    <row r="22" spans="1:9" ht="14.45" customHeight="1" x14ac:dyDescent="0.25">
      <c r="A22" s="348"/>
      <c r="B22" s="353" t="s">
        <v>252</v>
      </c>
      <c r="C22" s="243" t="s">
        <v>391</v>
      </c>
      <c r="D22" s="244" t="s">
        <v>253</v>
      </c>
      <c r="E22" s="245" t="s">
        <v>233</v>
      </c>
      <c r="I22" t="s">
        <v>484</v>
      </c>
    </row>
    <row r="23" spans="1:9" ht="14.45" customHeight="1" x14ac:dyDescent="0.25">
      <c r="A23" s="348"/>
      <c r="B23" s="354"/>
      <c r="C23" s="246" t="s">
        <v>432</v>
      </c>
      <c r="D23" s="247" t="s">
        <v>254</v>
      </c>
      <c r="E23" s="248" t="s">
        <v>334</v>
      </c>
      <c r="I23" t="s">
        <v>484</v>
      </c>
    </row>
    <row r="24" spans="1:9" ht="14.45" customHeight="1" x14ac:dyDescent="0.25">
      <c r="A24" s="348"/>
      <c r="B24" s="354"/>
      <c r="C24" s="246" t="s">
        <v>433</v>
      </c>
      <c r="D24" s="247" t="s">
        <v>255</v>
      </c>
      <c r="E24" s="248" t="s">
        <v>334</v>
      </c>
      <c r="I24" t="s">
        <v>484</v>
      </c>
    </row>
    <row r="25" spans="1:9" ht="14.45" customHeight="1" x14ac:dyDescent="0.25">
      <c r="A25" s="348"/>
      <c r="B25" s="354"/>
      <c r="C25" s="237" t="s">
        <v>392</v>
      </c>
      <c r="D25" s="238" t="s">
        <v>256</v>
      </c>
      <c r="E25" s="239" t="s">
        <v>233</v>
      </c>
      <c r="I25" t="s">
        <v>484</v>
      </c>
    </row>
    <row r="26" spans="1:9" ht="14.45" customHeight="1" thickBot="1" x14ac:dyDescent="0.3">
      <c r="A26" s="348"/>
      <c r="B26" s="355"/>
      <c r="C26" s="240" t="s">
        <v>393</v>
      </c>
      <c r="D26" s="241" t="s">
        <v>257</v>
      </c>
      <c r="E26" s="242" t="s">
        <v>233</v>
      </c>
      <c r="I26" t="s">
        <v>484</v>
      </c>
    </row>
    <row r="27" spans="1:9" ht="14.45" customHeight="1" x14ac:dyDescent="0.25">
      <c r="A27" s="348"/>
      <c r="B27" s="353" t="s">
        <v>258</v>
      </c>
      <c r="C27" s="243" t="s">
        <v>394</v>
      </c>
      <c r="D27" s="244" t="s">
        <v>259</v>
      </c>
      <c r="E27" s="245" t="s">
        <v>233</v>
      </c>
      <c r="I27" t="s">
        <v>485</v>
      </c>
    </row>
    <row r="28" spans="1:9" x14ac:dyDescent="0.25">
      <c r="A28" s="348"/>
      <c r="B28" s="354"/>
      <c r="C28" s="246" t="s">
        <v>434</v>
      </c>
      <c r="D28" s="247" t="s">
        <v>260</v>
      </c>
      <c r="E28" s="248" t="s">
        <v>334</v>
      </c>
      <c r="I28" t="s">
        <v>485</v>
      </c>
    </row>
    <row r="29" spans="1:9" ht="14.45" customHeight="1" x14ac:dyDescent="0.25">
      <c r="A29" s="348"/>
      <c r="B29" s="354"/>
      <c r="C29" s="237" t="s">
        <v>395</v>
      </c>
      <c r="D29" s="238" t="s">
        <v>261</v>
      </c>
      <c r="E29" s="239" t="s">
        <v>233</v>
      </c>
      <c r="I29" t="s">
        <v>485</v>
      </c>
    </row>
    <row r="30" spans="1:9" ht="14.45" customHeight="1" x14ac:dyDescent="0.25">
      <c r="A30" s="348"/>
      <c r="B30" s="354"/>
      <c r="C30" s="237" t="s">
        <v>396</v>
      </c>
      <c r="D30" s="238" t="s">
        <v>262</v>
      </c>
      <c r="E30" s="239" t="s">
        <v>233</v>
      </c>
      <c r="I30" t="s">
        <v>485</v>
      </c>
    </row>
    <row r="31" spans="1:9" ht="14.45" customHeight="1" x14ac:dyDescent="0.25">
      <c r="A31" s="348"/>
      <c r="B31" s="354"/>
      <c r="C31" s="237" t="s">
        <v>397</v>
      </c>
      <c r="D31" s="238" t="s">
        <v>263</v>
      </c>
      <c r="E31" s="239" t="s">
        <v>233</v>
      </c>
      <c r="I31" t="s">
        <v>485</v>
      </c>
    </row>
    <row r="32" spans="1:9" ht="14.45" customHeight="1" x14ac:dyDescent="0.25">
      <c r="A32" s="348"/>
      <c r="B32" s="354"/>
      <c r="C32" s="237" t="s">
        <v>398</v>
      </c>
      <c r="D32" s="238" t="s">
        <v>264</v>
      </c>
      <c r="E32" s="239" t="s">
        <v>233</v>
      </c>
      <c r="I32" t="s">
        <v>485</v>
      </c>
    </row>
    <row r="33" spans="1:9" ht="14.45" customHeight="1" x14ac:dyDescent="0.25">
      <c r="A33" s="348"/>
      <c r="B33" s="354"/>
      <c r="C33" s="237" t="s">
        <v>399</v>
      </c>
      <c r="D33" s="238" t="s">
        <v>265</v>
      </c>
      <c r="E33" s="239" t="s">
        <v>233</v>
      </c>
      <c r="I33" t="s">
        <v>485</v>
      </c>
    </row>
    <row r="34" spans="1:9" ht="14.45" customHeight="1" x14ac:dyDescent="0.25">
      <c r="A34" s="348"/>
      <c r="B34" s="354"/>
      <c r="C34" s="237" t="s">
        <v>400</v>
      </c>
      <c r="D34" s="238" t="s">
        <v>266</v>
      </c>
      <c r="E34" s="239" t="s">
        <v>233</v>
      </c>
      <c r="I34" t="s">
        <v>485</v>
      </c>
    </row>
    <row r="35" spans="1:9" ht="14.45" customHeight="1" x14ac:dyDescent="0.25">
      <c r="A35" s="348"/>
      <c r="B35" s="354"/>
      <c r="C35" s="237" t="s">
        <v>401</v>
      </c>
      <c r="D35" s="238" t="s">
        <v>267</v>
      </c>
      <c r="E35" s="239" t="s">
        <v>233</v>
      </c>
      <c r="I35" t="s">
        <v>485</v>
      </c>
    </row>
    <row r="36" spans="1:9" ht="14.45" customHeight="1" thickBot="1" x14ac:dyDescent="0.3">
      <c r="A36" s="348"/>
      <c r="B36" s="355"/>
      <c r="C36" s="240" t="s">
        <v>402</v>
      </c>
      <c r="D36" s="241" t="s">
        <v>268</v>
      </c>
      <c r="E36" s="242" t="s">
        <v>233</v>
      </c>
      <c r="I36" t="s">
        <v>485</v>
      </c>
    </row>
    <row r="37" spans="1:9" ht="14.45" customHeight="1" thickBot="1" x14ac:dyDescent="0.3">
      <c r="A37" s="348"/>
      <c r="B37" s="267" t="s">
        <v>269</v>
      </c>
      <c r="C37" s="249" t="s">
        <v>435</v>
      </c>
      <c r="D37" s="250" t="s">
        <v>270</v>
      </c>
      <c r="E37" s="251" t="s">
        <v>334</v>
      </c>
      <c r="I37" t="s">
        <v>486</v>
      </c>
    </row>
    <row r="38" spans="1:9" ht="14.45" customHeight="1" x14ac:dyDescent="0.25">
      <c r="A38" s="348"/>
      <c r="B38" s="356"/>
      <c r="C38" s="246" t="s">
        <v>436</v>
      </c>
      <c r="D38" s="247" t="s">
        <v>271</v>
      </c>
      <c r="E38" s="248" t="s">
        <v>334</v>
      </c>
      <c r="I38" t="s">
        <v>496</v>
      </c>
    </row>
    <row r="39" spans="1:9" x14ac:dyDescent="0.25">
      <c r="A39" s="348"/>
      <c r="B39" s="356"/>
      <c r="C39" s="246" t="s">
        <v>437</v>
      </c>
      <c r="D39" s="247" t="s">
        <v>272</v>
      </c>
      <c r="E39" s="248" t="s">
        <v>334</v>
      </c>
      <c r="I39" t="s">
        <v>496</v>
      </c>
    </row>
    <row r="40" spans="1:9" ht="15.75" thickBot="1" x14ac:dyDescent="0.3">
      <c r="A40" s="349"/>
      <c r="B40" s="357"/>
      <c r="C40" s="252" t="s">
        <v>438</v>
      </c>
      <c r="D40" s="253" t="s">
        <v>273</v>
      </c>
      <c r="E40" s="254" t="s">
        <v>334</v>
      </c>
      <c r="I40" t="s">
        <v>496</v>
      </c>
    </row>
    <row r="41" spans="1:9" ht="14.45" customHeight="1" x14ac:dyDescent="0.25">
      <c r="A41" s="350" t="s">
        <v>274</v>
      </c>
      <c r="B41" s="353" t="s">
        <v>275</v>
      </c>
      <c r="C41" s="243" t="s">
        <v>403</v>
      </c>
      <c r="D41" s="244" t="s">
        <v>276</v>
      </c>
      <c r="E41" s="245" t="s">
        <v>233</v>
      </c>
      <c r="I41" t="s">
        <v>487</v>
      </c>
    </row>
    <row r="42" spans="1:9" ht="14.45" customHeight="1" x14ac:dyDescent="0.25">
      <c r="A42" s="351"/>
      <c r="B42" s="354"/>
      <c r="C42" s="246" t="s">
        <v>439</v>
      </c>
      <c r="D42" s="247" t="s">
        <v>277</v>
      </c>
      <c r="E42" s="248" t="s">
        <v>334</v>
      </c>
      <c r="I42" t="s">
        <v>487</v>
      </c>
    </row>
    <row r="43" spans="1:9" x14ac:dyDescent="0.25">
      <c r="A43" s="351"/>
      <c r="B43" s="354"/>
      <c r="C43" s="246" t="s">
        <v>440</v>
      </c>
      <c r="D43" s="247" t="s">
        <v>278</v>
      </c>
      <c r="E43" s="248" t="s">
        <v>334</v>
      </c>
      <c r="I43" t="s">
        <v>487</v>
      </c>
    </row>
    <row r="44" spans="1:9" x14ac:dyDescent="0.25">
      <c r="A44" s="351"/>
      <c r="B44" s="354"/>
      <c r="C44" s="246" t="s">
        <v>441</v>
      </c>
      <c r="D44" s="247" t="s">
        <v>279</v>
      </c>
      <c r="E44" s="248" t="s">
        <v>334</v>
      </c>
      <c r="I44" t="s">
        <v>487</v>
      </c>
    </row>
    <row r="45" spans="1:9" ht="14.45" customHeight="1" x14ac:dyDescent="0.25">
      <c r="A45" s="351"/>
      <c r="B45" s="354"/>
      <c r="C45" s="246" t="s">
        <v>442</v>
      </c>
      <c r="D45" s="247" t="s">
        <v>280</v>
      </c>
      <c r="E45" s="248" t="s">
        <v>334</v>
      </c>
      <c r="I45" t="s">
        <v>487</v>
      </c>
    </row>
    <row r="46" spans="1:9" ht="14.45" customHeight="1" x14ac:dyDescent="0.25">
      <c r="A46" s="351"/>
      <c r="B46" s="354"/>
      <c r="C46" s="237" t="s">
        <v>404</v>
      </c>
      <c r="D46" s="238" t="s">
        <v>281</v>
      </c>
      <c r="E46" s="239" t="s">
        <v>233</v>
      </c>
      <c r="I46" t="s">
        <v>487</v>
      </c>
    </row>
    <row r="47" spans="1:9" ht="14.45" customHeight="1" thickBot="1" x14ac:dyDescent="0.3">
      <c r="A47" s="351"/>
      <c r="B47" s="355"/>
      <c r="C47" s="240" t="s">
        <v>405</v>
      </c>
      <c r="D47" s="241" t="s">
        <v>282</v>
      </c>
      <c r="E47" s="242" t="s">
        <v>233</v>
      </c>
      <c r="I47" t="s">
        <v>487</v>
      </c>
    </row>
    <row r="48" spans="1:9" ht="14.45" customHeight="1" x14ac:dyDescent="0.25">
      <c r="A48" s="351"/>
      <c r="B48" s="353" t="s">
        <v>283</v>
      </c>
      <c r="C48" s="234" t="s">
        <v>443</v>
      </c>
      <c r="D48" s="235" t="s">
        <v>284</v>
      </c>
      <c r="E48" s="236" t="s">
        <v>334</v>
      </c>
      <c r="I48" t="s">
        <v>488</v>
      </c>
    </row>
    <row r="49" spans="1:9" ht="14.45" customHeight="1" x14ac:dyDescent="0.25">
      <c r="A49" s="351"/>
      <c r="B49" s="354"/>
      <c r="C49" s="246" t="s">
        <v>444</v>
      </c>
      <c r="D49" s="247" t="s">
        <v>285</v>
      </c>
      <c r="E49" s="248" t="s">
        <v>334</v>
      </c>
      <c r="I49" t="s">
        <v>488</v>
      </c>
    </row>
    <row r="50" spans="1:9" ht="14.45" customHeight="1" thickBot="1" x14ac:dyDescent="0.3">
      <c r="A50" s="352"/>
      <c r="B50" s="355"/>
      <c r="C50" s="240" t="s">
        <v>406</v>
      </c>
      <c r="D50" s="241" t="s">
        <v>286</v>
      </c>
      <c r="E50" s="242" t="s">
        <v>233</v>
      </c>
      <c r="I50" t="s">
        <v>488</v>
      </c>
    </row>
    <row r="51" spans="1:9" ht="14.45" customHeight="1" x14ac:dyDescent="0.25">
      <c r="A51" s="347" t="s">
        <v>287</v>
      </c>
      <c r="B51" s="353" t="s">
        <v>288</v>
      </c>
      <c r="C51" s="234" t="s">
        <v>445</v>
      </c>
      <c r="D51" s="235" t="s">
        <v>289</v>
      </c>
      <c r="E51" s="236" t="s">
        <v>334</v>
      </c>
      <c r="I51" t="s">
        <v>489</v>
      </c>
    </row>
    <row r="52" spans="1:9" ht="14.45" customHeight="1" x14ac:dyDescent="0.25">
      <c r="A52" s="348"/>
      <c r="B52" s="354"/>
      <c r="C52" s="246" t="s">
        <v>470</v>
      </c>
      <c r="D52" s="247" t="s">
        <v>290</v>
      </c>
      <c r="E52" s="248" t="s">
        <v>334</v>
      </c>
      <c r="I52" t="s">
        <v>489</v>
      </c>
    </row>
    <row r="53" spans="1:9" ht="25.5" x14ac:dyDescent="0.25">
      <c r="A53" s="348"/>
      <c r="B53" s="354"/>
      <c r="C53" s="246" t="s">
        <v>446</v>
      </c>
      <c r="D53" s="247" t="s">
        <v>291</v>
      </c>
      <c r="E53" s="248" t="s">
        <v>334</v>
      </c>
      <c r="I53" t="s">
        <v>489</v>
      </c>
    </row>
    <row r="54" spans="1:9" ht="14.45" customHeight="1" x14ac:dyDescent="0.25">
      <c r="A54" s="348"/>
      <c r="B54" s="354"/>
      <c r="C54" s="237" t="s">
        <v>407</v>
      </c>
      <c r="D54" s="238" t="s">
        <v>292</v>
      </c>
      <c r="E54" s="239" t="s">
        <v>233</v>
      </c>
      <c r="I54" t="s">
        <v>489</v>
      </c>
    </row>
    <row r="55" spans="1:9" ht="14.45" customHeight="1" x14ac:dyDescent="0.25">
      <c r="A55" s="348"/>
      <c r="B55" s="354"/>
      <c r="C55" s="237" t="s">
        <v>408</v>
      </c>
      <c r="D55" s="238" t="s">
        <v>293</v>
      </c>
      <c r="E55" s="239" t="s">
        <v>233</v>
      </c>
      <c r="I55" t="s">
        <v>489</v>
      </c>
    </row>
    <row r="56" spans="1:9" ht="14.45" customHeight="1" thickBot="1" x14ac:dyDescent="0.3">
      <c r="A56" s="348"/>
      <c r="B56" s="355"/>
      <c r="C56" s="240" t="s">
        <v>409</v>
      </c>
      <c r="D56" s="241" t="s">
        <v>294</v>
      </c>
      <c r="E56" s="242" t="s">
        <v>233</v>
      </c>
      <c r="I56" t="s">
        <v>489</v>
      </c>
    </row>
    <row r="57" spans="1:9" ht="14.45" customHeight="1" x14ac:dyDescent="0.25">
      <c r="A57" s="348"/>
      <c r="B57" s="353" t="s">
        <v>295</v>
      </c>
      <c r="C57" s="243" t="s">
        <v>410</v>
      </c>
      <c r="D57" s="244" t="s">
        <v>296</v>
      </c>
      <c r="E57" s="245" t="s">
        <v>233</v>
      </c>
      <c r="I57" t="s">
        <v>490</v>
      </c>
    </row>
    <row r="58" spans="1:9" ht="38.25" x14ac:dyDescent="0.25">
      <c r="A58" s="348"/>
      <c r="B58" s="354"/>
      <c r="C58" s="246" t="s">
        <v>447</v>
      </c>
      <c r="D58" s="247" t="s">
        <v>297</v>
      </c>
      <c r="E58" s="248" t="s">
        <v>334</v>
      </c>
      <c r="I58" t="s">
        <v>490</v>
      </c>
    </row>
    <row r="59" spans="1:9" ht="25.5" x14ac:dyDescent="0.25">
      <c r="A59" s="348"/>
      <c r="B59" s="354"/>
      <c r="C59" s="246" t="s">
        <v>448</v>
      </c>
      <c r="D59" s="247" t="s">
        <v>298</v>
      </c>
      <c r="E59" s="248" t="s">
        <v>334</v>
      </c>
      <c r="I59" t="s">
        <v>490</v>
      </c>
    </row>
    <row r="60" spans="1:9" x14ac:dyDescent="0.25">
      <c r="A60" s="348"/>
      <c r="B60" s="354"/>
      <c r="C60" s="246" t="s">
        <v>449</v>
      </c>
      <c r="D60" s="247" t="s">
        <v>299</v>
      </c>
      <c r="E60" s="248" t="s">
        <v>334</v>
      </c>
      <c r="I60" t="s">
        <v>490</v>
      </c>
    </row>
    <row r="61" spans="1:9" ht="14.45" customHeight="1" x14ac:dyDescent="0.25">
      <c r="A61" s="348"/>
      <c r="B61" s="354"/>
      <c r="C61" s="246" t="s">
        <v>450</v>
      </c>
      <c r="D61" s="247" t="s">
        <v>300</v>
      </c>
      <c r="E61" s="248" t="s">
        <v>334</v>
      </c>
      <c r="I61" t="s">
        <v>490</v>
      </c>
    </row>
    <row r="62" spans="1:9" ht="14.45" customHeight="1" x14ac:dyDescent="0.25">
      <c r="A62" s="348"/>
      <c r="B62" s="354"/>
      <c r="C62" s="237" t="s">
        <v>451</v>
      </c>
      <c r="D62" s="238" t="s">
        <v>301</v>
      </c>
      <c r="E62" s="239" t="s">
        <v>233</v>
      </c>
      <c r="I62" t="s">
        <v>490</v>
      </c>
    </row>
    <row r="63" spans="1:9" ht="14.45" customHeight="1" x14ac:dyDescent="0.25">
      <c r="A63" s="348"/>
      <c r="B63" s="354"/>
      <c r="C63" s="237" t="s">
        <v>411</v>
      </c>
      <c r="D63" s="238" t="s">
        <v>302</v>
      </c>
      <c r="E63" s="239" t="s">
        <v>233</v>
      </c>
      <c r="I63" t="s">
        <v>490</v>
      </c>
    </row>
    <row r="64" spans="1:9" ht="14.45" customHeight="1" x14ac:dyDescent="0.25">
      <c r="A64" s="348"/>
      <c r="B64" s="354"/>
      <c r="C64" s="237" t="s">
        <v>412</v>
      </c>
      <c r="D64" s="238" t="s">
        <v>303</v>
      </c>
      <c r="E64" s="239" t="s">
        <v>233</v>
      </c>
      <c r="I64" t="s">
        <v>490</v>
      </c>
    </row>
    <row r="65" spans="1:9" ht="14.45" customHeight="1" x14ac:dyDescent="0.25">
      <c r="A65" s="348"/>
      <c r="B65" s="354"/>
      <c r="C65" s="237" t="s">
        <v>413</v>
      </c>
      <c r="D65" s="238" t="s">
        <v>304</v>
      </c>
      <c r="E65" s="239" t="s">
        <v>233</v>
      </c>
      <c r="I65" t="s">
        <v>490</v>
      </c>
    </row>
    <row r="66" spans="1:9" ht="14.45" customHeight="1" thickBot="1" x14ac:dyDescent="0.3">
      <c r="A66" s="348"/>
      <c r="B66" s="355"/>
      <c r="C66" s="240" t="s">
        <v>414</v>
      </c>
      <c r="D66" s="241" t="s">
        <v>305</v>
      </c>
      <c r="E66" s="242" t="s">
        <v>233</v>
      </c>
      <c r="I66" t="s">
        <v>490</v>
      </c>
    </row>
    <row r="67" spans="1:9" ht="14.45" customHeight="1" x14ac:dyDescent="0.25">
      <c r="A67" s="348"/>
      <c r="B67" s="353" t="s">
        <v>306</v>
      </c>
      <c r="C67" s="234" t="s">
        <v>452</v>
      </c>
      <c r="D67" s="235" t="s">
        <v>307</v>
      </c>
      <c r="E67" s="236" t="s">
        <v>334</v>
      </c>
      <c r="I67" t="s">
        <v>491</v>
      </c>
    </row>
    <row r="68" spans="1:9" ht="14.45" customHeight="1" x14ac:dyDescent="0.25">
      <c r="A68" s="348"/>
      <c r="B68" s="354"/>
      <c r="C68" s="246" t="s">
        <v>453</v>
      </c>
      <c r="D68" s="247" t="s">
        <v>308</v>
      </c>
      <c r="E68" s="248" t="s">
        <v>334</v>
      </c>
      <c r="I68" t="s">
        <v>491</v>
      </c>
    </row>
    <row r="69" spans="1:9" x14ac:dyDescent="0.25">
      <c r="A69" s="348"/>
      <c r="B69" s="354"/>
      <c r="C69" s="246" t="s">
        <v>454</v>
      </c>
      <c r="D69" s="247" t="s">
        <v>309</v>
      </c>
      <c r="E69" s="248" t="s">
        <v>334</v>
      </c>
      <c r="I69" t="s">
        <v>491</v>
      </c>
    </row>
    <row r="70" spans="1:9" ht="14.45" customHeight="1" thickBot="1" x14ac:dyDescent="0.3">
      <c r="A70" s="348"/>
      <c r="B70" s="355"/>
      <c r="C70" s="240" t="s">
        <v>415</v>
      </c>
      <c r="D70" s="241" t="s">
        <v>310</v>
      </c>
      <c r="E70" s="242" t="s">
        <v>233</v>
      </c>
      <c r="I70" t="s">
        <v>491</v>
      </c>
    </row>
    <row r="71" spans="1:9" ht="14.45" customHeight="1" x14ac:dyDescent="0.25">
      <c r="A71" s="348"/>
      <c r="B71" s="353" t="s">
        <v>311</v>
      </c>
      <c r="C71" s="243" t="s">
        <v>416</v>
      </c>
      <c r="D71" s="244" t="s">
        <v>312</v>
      </c>
      <c r="E71" s="245" t="s">
        <v>233</v>
      </c>
      <c r="I71" t="s">
        <v>492</v>
      </c>
    </row>
    <row r="72" spans="1:9" ht="25.5" x14ac:dyDescent="0.25">
      <c r="A72" s="348"/>
      <c r="B72" s="354"/>
      <c r="C72" s="246" t="s">
        <v>455</v>
      </c>
      <c r="D72" s="247" t="s">
        <v>313</v>
      </c>
      <c r="E72" s="248" t="s">
        <v>334</v>
      </c>
      <c r="I72" t="s">
        <v>492</v>
      </c>
    </row>
    <row r="73" spans="1:9" x14ac:dyDescent="0.25">
      <c r="A73" s="348"/>
      <c r="B73" s="354"/>
      <c r="C73" s="246" t="s">
        <v>456</v>
      </c>
      <c r="D73" s="247" t="s">
        <v>314</v>
      </c>
      <c r="E73" s="248" t="s">
        <v>334</v>
      </c>
      <c r="I73" t="s">
        <v>492</v>
      </c>
    </row>
    <row r="74" spans="1:9" x14ac:dyDescent="0.25">
      <c r="A74" s="348"/>
      <c r="B74" s="354"/>
      <c r="C74" s="246" t="s">
        <v>457</v>
      </c>
      <c r="D74" s="247" t="s">
        <v>315</v>
      </c>
      <c r="E74" s="248" t="s">
        <v>334</v>
      </c>
      <c r="I74" t="s">
        <v>492</v>
      </c>
    </row>
    <row r="75" spans="1:9" ht="14.45" customHeight="1" x14ac:dyDescent="0.25">
      <c r="A75" s="348"/>
      <c r="B75" s="354"/>
      <c r="C75" s="237" t="s">
        <v>417</v>
      </c>
      <c r="D75" s="238" t="s">
        <v>316</v>
      </c>
      <c r="E75" s="239" t="s">
        <v>233</v>
      </c>
      <c r="I75" t="s">
        <v>492</v>
      </c>
    </row>
    <row r="76" spans="1:9" ht="14.45" customHeight="1" thickBot="1" x14ac:dyDescent="0.3">
      <c r="A76" s="348"/>
      <c r="B76" s="355"/>
      <c r="C76" s="240" t="s">
        <v>418</v>
      </c>
      <c r="D76" s="241" t="s">
        <v>317</v>
      </c>
      <c r="E76" s="242" t="s">
        <v>233</v>
      </c>
      <c r="I76" t="s">
        <v>492</v>
      </c>
    </row>
    <row r="77" spans="1:9" ht="14.45" customHeight="1" x14ac:dyDescent="0.25">
      <c r="A77" s="348"/>
      <c r="B77" s="353" t="s">
        <v>318</v>
      </c>
      <c r="C77" s="243" t="s">
        <v>419</v>
      </c>
      <c r="D77" s="244" t="s">
        <v>319</v>
      </c>
      <c r="E77" s="245" t="s">
        <v>233</v>
      </c>
      <c r="I77" t="s">
        <v>493</v>
      </c>
    </row>
    <row r="78" spans="1:9" x14ac:dyDescent="0.25">
      <c r="A78" s="348"/>
      <c r="B78" s="354"/>
      <c r="C78" s="237" t="s">
        <v>420</v>
      </c>
      <c r="D78" s="238" t="s">
        <v>320</v>
      </c>
      <c r="E78" s="239" t="s">
        <v>233</v>
      </c>
      <c r="I78" t="s">
        <v>493</v>
      </c>
    </row>
    <row r="79" spans="1:9" ht="25.5" x14ac:dyDescent="0.25">
      <c r="A79" s="348"/>
      <c r="B79" s="354"/>
      <c r="C79" s="246" t="s">
        <v>458</v>
      </c>
      <c r="D79" s="247" t="s">
        <v>321</v>
      </c>
      <c r="E79" s="248" t="s">
        <v>334</v>
      </c>
      <c r="I79" t="s">
        <v>493</v>
      </c>
    </row>
    <row r="80" spans="1:9" x14ac:dyDescent="0.25">
      <c r="A80" s="348"/>
      <c r="B80" s="354"/>
      <c r="C80" s="246" t="s">
        <v>459</v>
      </c>
      <c r="D80" s="247" t="s">
        <v>322</v>
      </c>
      <c r="E80" s="248" t="s">
        <v>334</v>
      </c>
      <c r="I80" t="s">
        <v>493</v>
      </c>
    </row>
    <row r="81" spans="1:9" x14ac:dyDescent="0.25">
      <c r="A81" s="348"/>
      <c r="B81" s="354"/>
      <c r="C81" s="246" t="s">
        <v>460</v>
      </c>
      <c r="D81" s="247" t="s">
        <v>323</v>
      </c>
      <c r="E81" s="248" t="s">
        <v>334</v>
      </c>
      <c r="I81" t="s">
        <v>493</v>
      </c>
    </row>
    <row r="82" spans="1:9" x14ac:dyDescent="0.25">
      <c r="A82" s="348"/>
      <c r="B82" s="354"/>
      <c r="C82" s="246" t="s">
        <v>461</v>
      </c>
      <c r="D82" s="247" t="s">
        <v>324</v>
      </c>
      <c r="E82" s="248" t="s">
        <v>334</v>
      </c>
      <c r="I82" t="s">
        <v>493</v>
      </c>
    </row>
    <row r="83" spans="1:9" x14ac:dyDescent="0.25">
      <c r="A83" s="348"/>
      <c r="B83" s="354"/>
      <c r="C83" s="237" t="s">
        <v>421</v>
      </c>
      <c r="D83" s="238" t="s">
        <v>325</v>
      </c>
      <c r="E83" s="239" t="s">
        <v>233</v>
      </c>
      <c r="I83" t="s">
        <v>493</v>
      </c>
    </row>
    <row r="84" spans="1:9" ht="15.75" thickBot="1" x14ac:dyDescent="0.3">
      <c r="A84" s="349"/>
      <c r="B84" s="355"/>
      <c r="C84" s="240" t="s">
        <v>422</v>
      </c>
      <c r="D84" s="241" t="s">
        <v>326</v>
      </c>
      <c r="E84" s="242" t="s">
        <v>233</v>
      </c>
      <c r="I84" t="s">
        <v>493</v>
      </c>
    </row>
    <row r="85" spans="1:9" ht="26.25" thickBot="1" x14ac:dyDescent="0.3">
      <c r="A85" s="347" t="s">
        <v>327</v>
      </c>
      <c r="B85" s="268" t="s">
        <v>328</v>
      </c>
      <c r="C85" s="255" t="s">
        <v>423</v>
      </c>
      <c r="D85" s="256" t="s">
        <v>329</v>
      </c>
      <c r="E85" s="257" t="s">
        <v>233</v>
      </c>
      <c r="I85" t="s">
        <v>494</v>
      </c>
    </row>
    <row r="86" spans="1:9" ht="15.75" thickBot="1" x14ac:dyDescent="0.3">
      <c r="A86" s="348"/>
      <c r="B86" s="268" t="s">
        <v>330</v>
      </c>
      <c r="C86" s="255" t="s">
        <v>424</v>
      </c>
      <c r="D86" s="256" t="s">
        <v>331</v>
      </c>
      <c r="E86" s="257" t="s">
        <v>233</v>
      </c>
      <c r="I86" t="s">
        <v>495</v>
      </c>
    </row>
    <row r="87" spans="1:9" ht="26.25" thickBot="1" x14ac:dyDescent="0.3">
      <c r="A87" s="349"/>
      <c r="B87" s="267" t="s">
        <v>332</v>
      </c>
      <c r="C87" s="249" t="s">
        <v>462</v>
      </c>
      <c r="D87" s="250" t="s">
        <v>333</v>
      </c>
      <c r="E87" s="251" t="s">
        <v>334</v>
      </c>
      <c r="I87" t="s">
        <v>497</v>
      </c>
    </row>
  </sheetData>
  <mergeCells count="18">
    <mergeCell ref="A5:A40"/>
    <mergeCell ref="B5:B7"/>
    <mergeCell ref="B8:B11"/>
    <mergeCell ref="B12:B17"/>
    <mergeCell ref="B18:B21"/>
    <mergeCell ref="B22:B26"/>
    <mergeCell ref="B27:B36"/>
    <mergeCell ref="B38:B40"/>
    <mergeCell ref="A85:A87"/>
    <mergeCell ref="A41:A50"/>
    <mergeCell ref="B41:B47"/>
    <mergeCell ref="B48:B50"/>
    <mergeCell ref="A51:A84"/>
    <mergeCell ref="B51:B56"/>
    <mergeCell ref="B57:B66"/>
    <mergeCell ref="B67:B70"/>
    <mergeCell ref="B71:B76"/>
    <mergeCell ref="B77:B84"/>
  </mergeCells>
  <pageMargins left="0.26" right="0.32" top="0.28000000000000003" bottom="0.27" header="0.17" footer="0.17"/>
  <pageSetup paperSize="8" scale="8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59999389629810485"/>
    <pageSetUpPr fitToPage="1"/>
  </sheetPr>
  <dimension ref="A1:AK120"/>
  <sheetViews>
    <sheetView showGridLines="0" tabSelected="1" topLeftCell="B1" zoomScaleNormal="100" workbookViewId="0">
      <selection activeCell="K19" sqref="K19"/>
    </sheetView>
  </sheetViews>
  <sheetFormatPr baseColWidth="10" defaultColWidth="11.5703125" defaultRowHeight="15" x14ac:dyDescent="0.25"/>
  <cols>
    <col min="1" max="1" width="17.28515625" style="1" customWidth="1"/>
    <col min="2" max="2" width="55.28515625" style="1" customWidth="1"/>
    <col min="3" max="8" width="11.5703125" style="1"/>
    <col min="9" max="9" width="13.140625" style="1" customWidth="1"/>
    <col min="10" max="13" width="13.28515625" style="1" customWidth="1"/>
    <col min="14" max="14" width="11.5703125" style="1"/>
    <col min="15" max="15" width="22.5703125" style="1" customWidth="1"/>
    <col min="16" max="16" width="11.5703125" style="1"/>
    <col min="17" max="17" width="12.5703125" style="1" customWidth="1"/>
    <col min="18" max="18" width="18.7109375" style="1" customWidth="1"/>
    <col min="19" max="19" width="12.7109375" style="1" customWidth="1"/>
    <col min="20" max="20" width="13.28515625" style="1" customWidth="1"/>
    <col min="21" max="16384" width="11.5703125" style="1"/>
  </cols>
  <sheetData>
    <row r="1" spans="1:35" ht="31.5" x14ac:dyDescent="0.25">
      <c r="A1" s="399" t="s">
        <v>498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</row>
    <row r="3" spans="1:35" ht="54.6" customHeight="1" x14ac:dyDescent="0.25">
      <c r="E3" s="345" t="s">
        <v>536</v>
      </c>
    </row>
    <row r="5" spans="1:35" ht="43.15" customHeight="1" x14ac:dyDescent="0.25">
      <c r="B5" s="133" t="s">
        <v>197</v>
      </c>
      <c r="C5" s="401" t="s">
        <v>504</v>
      </c>
      <c r="D5" s="402"/>
      <c r="E5" s="402"/>
      <c r="F5" s="403"/>
      <c r="J5" s="197" t="s">
        <v>16</v>
      </c>
      <c r="K5" s="197" t="s">
        <v>17</v>
      </c>
      <c r="L5" s="410" t="str">
        <f>CONCATENATE("Prix de vente hors CEA préconisé avec taux de marge de ",C15*100,"%")</f>
        <v>Prix de vente hors CEA préconisé avec taux de marge de 10%</v>
      </c>
      <c r="M5" s="410"/>
      <c r="T5" s="343" t="s">
        <v>520</v>
      </c>
      <c r="U5" s="343" t="s">
        <v>521</v>
      </c>
      <c r="V5" s="343" t="s">
        <v>522</v>
      </c>
      <c r="W5" s="343" t="s">
        <v>523</v>
      </c>
      <c r="X5" s="343" t="s">
        <v>524</v>
      </c>
      <c r="Y5" s="343" t="s">
        <v>525</v>
      </c>
      <c r="Z5" s="343" t="s">
        <v>526</v>
      </c>
      <c r="AA5" s="343" t="s">
        <v>527</v>
      </c>
      <c r="AB5" s="343" t="s">
        <v>528</v>
      </c>
      <c r="AC5" s="343" t="s">
        <v>529</v>
      </c>
      <c r="AD5" s="343" t="s">
        <v>530</v>
      </c>
      <c r="AE5" s="343" t="s">
        <v>531</v>
      </c>
      <c r="AF5" s="343" t="s">
        <v>532</v>
      </c>
      <c r="AG5" s="343" t="s">
        <v>533</v>
      </c>
      <c r="AH5" s="343" t="s">
        <v>534</v>
      </c>
      <c r="AI5" s="343" t="s">
        <v>535</v>
      </c>
    </row>
    <row r="6" spans="1:35" ht="14.45" customHeight="1" x14ac:dyDescent="0.25">
      <c r="B6" s="133" t="s">
        <v>175</v>
      </c>
      <c r="C6" s="335" t="s">
        <v>505</v>
      </c>
      <c r="G6" s="407" t="s">
        <v>474</v>
      </c>
      <c r="H6" s="408"/>
      <c r="I6" s="409"/>
      <c r="J6" s="311">
        <f>K29</f>
        <v>6334.0599999999995</v>
      </c>
      <c r="K6" s="311">
        <f>L29</f>
        <v>8400.9272009999986</v>
      </c>
      <c r="L6" s="385">
        <f>K6*(1+C15)</f>
        <v>9241.0199210999999</v>
      </c>
      <c r="M6" s="385"/>
      <c r="T6" s="6" t="str">
        <f>C6</f>
        <v>TEL</v>
      </c>
      <c r="U6" s="6" t="str">
        <f>C5</f>
        <v>Télémanipulation</v>
      </c>
      <c r="V6" s="6">
        <f>C9</f>
        <v>3</v>
      </c>
      <c r="W6" s="6">
        <f>J18</f>
        <v>1390</v>
      </c>
      <c r="X6" s="6">
        <f>J17</f>
        <v>1251</v>
      </c>
      <c r="Y6" s="6">
        <f>Q14</f>
        <v>1</v>
      </c>
      <c r="Z6" s="6">
        <f>Q13</f>
        <v>2</v>
      </c>
      <c r="AA6" s="6">
        <f>Q18</f>
        <v>3</v>
      </c>
      <c r="AB6" s="6">
        <f>Q17</f>
        <v>4</v>
      </c>
      <c r="AC6" s="6">
        <f>Q22</f>
        <v>6</v>
      </c>
      <c r="AD6" s="6">
        <f>Q21</f>
        <v>7</v>
      </c>
      <c r="AE6" s="14">
        <f>C97</f>
        <v>3</v>
      </c>
      <c r="AF6" s="14">
        <f>C67+C68+C69</f>
        <v>0</v>
      </c>
      <c r="AG6" s="14">
        <f>D97</f>
        <v>12</v>
      </c>
      <c r="AH6" s="16">
        <f>H97</f>
        <v>877.31</v>
      </c>
      <c r="AI6" s="344">
        <f>N8</f>
        <v>560.71428571428567</v>
      </c>
    </row>
    <row r="7" spans="1:35" x14ac:dyDescent="0.25">
      <c r="B7" s="6" t="s">
        <v>180</v>
      </c>
      <c r="C7" s="336">
        <v>36161</v>
      </c>
      <c r="G7" s="405" t="s">
        <v>184</v>
      </c>
      <c r="H7" s="405"/>
      <c r="I7" s="405"/>
      <c r="J7" s="312">
        <f>K53+K97-K80-K81-K82-K83-K84-K85-K86-K87-K88</f>
        <v>2409.0599999999995</v>
      </c>
      <c r="K7" s="312">
        <f>L53+L97-L80-L81-L82-L83-L84-L85-L86-L87-L88</f>
        <v>4342.4772009999979</v>
      </c>
      <c r="L7" s="386">
        <f>K7*(1+C15)</f>
        <v>4776.724921099998</v>
      </c>
      <c r="M7" s="386"/>
      <c r="N7" s="338" t="s">
        <v>507</v>
      </c>
    </row>
    <row r="8" spans="1:35" x14ac:dyDescent="0.25">
      <c r="B8" s="6" t="s">
        <v>176</v>
      </c>
      <c r="C8" s="6" t="s">
        <v>499</v>
      </c>
      <c r="G8" s="405" t="s">
        <v>183</v>
      </c>
      <c r="H8" s="405"/>
      <c r="I8" s="405"/>
      <c r="J8" s="312">
        <f>K80+K81+K82+K83+K84+K85+K86+K87+K88</f>
        <v>3925</v>
      </c>
      <c r="K8" s="312">
        <f>L80+L81+L82+L83+L84+L85+L86+L87+L88</f>
        <v>4058.45</v>
      </c>
      <c r="L8" s="386">
        <f>K8*(1+C15)</f>
        <v>4464.2950000000001</v>
      </c>
      <c r="M8" s="386"/>
      <c r="N8" s="339">
        <f>J8/C14</f>
        <v>560.71428571428567</v>
      </c>
      <c r="O8" s="129" t="s">
        <v>508</v>
      </c>
    </row>
    <row r="9" spans="1:35" ht="14.45" customHeight="1" x14ac:dyDescent="0.25">
      <c r="B9" s="6" t="s">
        <v>191</v>
      </c>
      <c r="C9" s="6">
        <v>3</v>
      </c>
      <c r="G9" s="378" t="s">
        <v>181</v>
      </c>
      <c r="H9" s="378"/>
      <c r="I9" s="378"/>
      <c r="J9" s="313">
        <f>ROUND(J6*0.1,0)</f>
        <v>633</v>
      </c>
      <c r="K9" s="313">
        <f t="shared" ref="K9" si="0">ROUND(K6*0.1,0)</f>
        <v>840</v>
      </c>
      <c r="L9" s="379">
        <f>ROUND(L6*0.1,0)</f>
        <v>924</v>
      </c>
      <c r="M9" s="379"/>
    </row>
    <row r="10" spans="1:35" ht="14.45" customHeight="1" x14ac:dyDescent="0.25">
      <c r="B10" s="6" t="s">
        <v>192</v>
      </c>
      <c r="C10" s="290" t="s">
        <v>501</v>
      </c>
      <c r="G10" s="406" t="s">
        <v>475</v>
      </c>
      <c r="H10" s="406"/>
      <c r="I10" s="406"/>
      <c r="J10" s="311">
        <f>J6+J9</f>
        <v>6967.0599999999995</v>
      </c>
      <c r="K10" s="311">
        <f t="shared" ref="K10:L10" si="1">K6+K9</f>
        <v>9240.9272009999986</v>
      </c>
      <c r="L10" s="385">
        <f t="shared" si="1"/>
        <v>10165.0199211</v>
      </c>
      <c r="M10" s="385"/>
    </row>
    <row r="11" spans="1:35" ht="14.45" customHeight="1" x14ac:dyDescent="0.25">
      <c r="B11" s="166" t="s">
        <v>342</v>
      </c>
      <c r="C11" s="391" t="s">
        <v>394</v>
      </c>
      <c r="D11" s="392"/>
      <c r="E11" s="393"/>
      <c r="G11" s="406" t="s">
        <v>476</v>
      </c>
      <c r="H11" s="406"/>
      <c r="I11" s="406"/>
      <c r="J11" s="314">
        <f>ROUND(J10/C14,0)</f>
        <v>995</v>
      </c>
      <c r="K11" s="314">
        <f>ROUND(K10/C14,0)</f>
        <v>1320</v>
      </c>
      <c r="L11" s="394">
        <f>ROUND(L10/C14,0)</f>
        <v>1452</v>
      </c>
      <c r="M11" s="394"/>
      <c r="P11" s="340" t="s">
        <v>509</v>
      </c>
    </row>
    <row r="12" spans="1:35" ht="14.45" customHeight="1" x14ac:dyDescent="0.25">
      <c r="B12" s="6" t="s">
        <v>338</v>
      </c>
      <c r="C12" s="277" t="str">
        <f>IF(LEFT(C11,3)&lt;&gt;"LOC","A saisir",VLOOKUP(C11,'Table OS Formations'!C:I,7,FALSE))</f>
        <v>Projet 06</v>
      </c>
      <c r="D12" s="390" t="s">
        <v>341</v>
      </c>
      <c r="E12" s="390"/>
      <c r="G12" s="378" t="s">
        <v>477</v>
      </c>
      <c r="H12" s="378"/>
      <c r="I12" s="378"/>
      <c r="J12" s="313">
        <f>IF(OR(LEFT(C8,2)="FC",LEFT(C8,2)="Ce"),ROUND(J10/C9,0),"Non applicable")</f>
        <v>2322</v>
      </c>
      <c r="K12" s="313">
        <f>IF(OR(LEFT(C8,2)="FC",LEFT(C8,2)="Ce"),ROUND(K10/C9,0),"Non applicable")</f>
        <v>3080</v>
      </c>
      <c r="L12" s="379">
        <f>IF(OR(LEFT(C8,2)="FC",LEFT(C8,2)="Ce"),ROUND(L10/C9,0),"Non applicable")</f>
        <v>3388</v>
      </c>
      <c r="M12" s="379"/>
      <c r="P12" s="9" t="s">
        <v>510</v>
      </c>
    </row>
    <row r="13" spans="1:35" x14ac:dyDescent="0.25">
      <c r="B13" s="164" t="s">
        <v>177</v>
      </c>
      <c r="C13" s="164" t="s">
        <v>500</v>
      </c>
      <c r="G13" s="378" t="s">
        <v>478</v>
      </c>
      <c r="H13" s="378"/>
      <c r="I13" s="378"/>
      <c r="J13" s="313">
        <f>IF(LEFT(J12,1)="N",J12,ROUND(J12/C14,0))</f>
        <v>332</v>
      </c>
      <c r="K13" s="313">
        <f>IF(LEFT(K12,1)="N",K12,ROUND(K12/C14,0))</f>
        <v>440</v>
      </c>
      <c r="L13" s="379">
        <f>IF(LEFT(L12,1)="N",L12,ROUND(L12/C14,0))</f>
        <v>484</v>
      </c>
      <c r="M13" s="379"/>
      <c r="P13" s="1" t="s">
        <v>511</v>
      </c>
      <c r="Q13" s="341">
        <f>ROUNDUP(Q$28/N17,0)</f>
        <v>2</v>
      </c>
      <c r="T13" s="9" t="s">
        <v>542</v>
      </c>
    </row>
    <row r="14" spans="1:35" ht="15" customHeight="1" x14ac:dyDescent="0.25">
      <c r="B14" s="160" t="s">
        <v>171</v>
      </c>
      <c r="C14" s="162">
        <v>7</v>
      </c>
      <c r="D14" s="129"/>
      <c r="E14" s="129"/>
      <c r="F14" s="129"/>
      <c r="G14" s="404" t="s">
        <v>182</v>
      </c>
      <c r="H14" s="404"/>
      <c r="I14" s="404"/>
      <c r="J14" s="315">
        <f>ROUNDUP(J7/(J11-J8/C14),0)</f>
        <v>6</v>
      </c>
      <c r="K14" s="315">
        <f>ROUNDUP(J7/(K11-J8/C14),0)</f>
        <v>4</v>
      </c>
      <c r="L14" s="382">
        <f>ROUNDUP(J7/(L11-J8/C14),0)</f>
        <v>3</v>
      </c>
      <c r="M14" s="382"/>
      <c r="P14" s="1" t="s">
        <v>512</v>
      </c>
      <c r="Q14" s="341">
        <f>ROUNDUP(Q$28/N18,0)</f>
        <v>1</v>
      </c>
      <c r="T14" s="346">
        <v>0</v>
      </c>
    </row>
    <row r="15" spans="1:35" ht="15" customHeight="1" x14ac:dyDescent="0.25">
      <c r="B15" s="133" t="s">
        <v>187</v>
      </c>
      <c r="C15" s="210">
        <v>0.1</v>
      </c>
      <c r="D15" s="208" t="s">
        <v>471</v>
      </c>
      <c r="E15" s="188"/>
      <c r="F15" s="177"/>
      <c r="G15" s="378" t="s">
        <v>185</v>
      </c>
      <c r="H15" s="378"/>
      <c r="I15" s="378"/>
      <c r="J15" s="313">
        <f>J11*J14</f>
        <v>5970</v>
      </c>
      <c r="K15" s="313">
        <f>K11*K14</f>
        <v>5280</v>
      </c>
      <c r="L15" s="379">
        <f>L11*L14</f>
        <v>4356</v>
      </c>
      <c r="M15" s="379"/>
    </row>
    <row r="16" spans="1:35" ht="15" customHeight="1" thickBot="1" x14ac:dyDescent="0.3">
      <c r="D16" s="209" t="s">
        <v>195</v>
      </c>
      <c r="E16" s="189"/>
      <c r="G16" s="411" t="s">
        <v>186</v>
      </c>
      <c r="H16" s="412"/>
      <c r="I16" s="413"/>
      <c r="J16" s="316">
        <f>ROUND(J7+J8/C14*J14,0)</f>
        <v>5773</v>
      </c>
      <c r="K16" s="313">
        <f>ROUND(J7+J8/C14*K14,0)</f>
        <v>4652</v>
      </c>
      <c r="L16" s="424">
        <f>ROUND(J7+J8/C14*L14,0)</f>
        <v>4091</v>
      </c>
      <c r="M16" s="425"/>
      <c r="N16" s="129" t="s">
        <v>513</v>
      </c>
      <c r="P16" s="9" t="s">
        <v>514</v>
      </c>
    </row>
    <row r="17" spans="1:37" ht="15.75" thickTop="1" x14ac:dyDescent="0.25">
      <c r="B17" s="383" t="s">
        <v>464</v>
      </c>
      <c r="C17" s="383"/>
      <c r="D17" s="383"/>
      <c r="E17" s="383"/>
      <c r="F17" s="384"/>
      <c r="G17" s="416" t="s">
        <v>206</v>
      </c>
      <c r="H17" s="417"/>
      <c r="I17" s="417"/>
      <c r="J17" s="204">
        <f>0.9*J18</f>
        <v>1251</v>
      </c>
      <c r="K17" s="1" t="s">
        <v>502</v>
      </c>
      <c r="N17" s="339">
        <f>J17-J8/C14</f>
        <v>690.28571428571433</v>
      </c>
      <c r="P17" s="1" t="s">
        <v>511</v>
      </c>
      <c r="Q17" s="341">
        <f>ROUNDUP((K$29-J8)/N17,0)</f>
        <v>4</v>
      </c>
    </row>
    <row r="18" spans="1:37" ht="15.75" thickBot="1" x14ac:dyDescent="0.3">
      <c r="B18" s="383"/>
      <c r="C18" s="383"/>
      <c r="D18" s="383"/>
      <c r="E18" s="383"/>
      <c r="F18" s="384"/>
      <c r="G18" s="422" t="s">
        <v>220</v>
      </c>
      <c r="H18" s="423"/>
      <c r="I18" s="423"/>
      <c r="J18" s="205">
        <v>1390</v>
      </c>
      <c r="K18" s="1" t="s">
        <v>543</v>
      </c>
      <c r="N18" s="339">
        <f>J18-J8/C14</f>
        <v>829.28571428571433</v>
      </c>
      <c r="P18" s="1" t="s">
        <v>512</v>
      </c>
      <c r="Q18" s="341">
        <f>ROUNDUP((K$29-J8)/N18,0)</f>
        <v>3</v>
      </c>
    </row>
    <row r="19" spans="1:37" ht="16.5" thickTop="1" thickBot="1" x14ac:dyDescent="0.3">
      <c r="D19" s="194"/>
      <c r="E19" s="190"/>
      <c r="G19" s="418"/>
      <c r="H19" s="418"/>
      <c r="I19" s="418"/>
      <c r="J19" s="192"/>
    </row>
    <row r="20" spans="1:37" ht="15.75" thickBot="1" x14ac:dyDescent="0.3">
      <c r="D20" s="194"/>
      <c r="E20" s="190"/>
      <c r="G20" s="419" t="s">
        <v>212</v>
      </c>
      <c r="H20" s="420"/>
      <c r="I20" s="420"/>
      <c r="J20" s="420"/>
      <c r="K20" s="420"/>
      <c r="L20" s="420"/>
      <c r="M20" s="421"/>
      <c r="P20" s="9" t="s">
        <v>515</v>
      </c>
    </row>
    <row r="21" spans="1:37" x14ac:dyDescent="0.25">
      <c r="D21" s="194"/>
      <c r="E21" s="190"/>
      <c r="G21" s="414" t="s">
        <v>208</v>
      </c>
      <c r="H21" s="415"/>
      <c r="I21" s="415"/>
      <c r="J21" s="317">
        <f>IF(I50=0,K49,0)</f>
        <v>0</v>
      </c>
      <c r="K21" s="317">
        <f>IF(I50=0,L49,0)</f>
        <v>0</v>
      </c>
      <c r="L21" s="397">
        <f>IF(I50=0,M49,0)</f>
        <v>0</v>
      </c>
      <c r="M21" s="398"/>
      <c r="P21" s="1" t="s">
        <v>511</v>
      </c>
      <c r="Q21" s="341">
        <f>ROUNDUP((L$29-J8)/N17,0)</f>
        <v>7</v>
      </c>
    </row>
    <row r="22" spans="1:37" x14ac:dyDescent="0.25">
      <c r="D22" s="194"/>
      <c r="E22" s="190"/>
      <c r="G22" s="380" t="s">
        <v>209</v>
      </c>
      <c r="H22" s="381"/>
      <c r="I22" s="381"/>
      <c r="J22" s="318">
        <f>IF(OR(LEFT(C8,2)="FC",LEFT(C8,2)="Ce"),ROUND(J21/C9,0),"Non applicable")</f>
        <v>0</v>
      </c>
      <c r="K22" s="318">
        <f>IF(OR(LEFT(C8,2)="FC",LEFT(C8,2)="Ce"),ROUND(K21/C9,0),"Non applicable")</f>
        <v>0</v>
      </c>
      <c r="L22" s="426">
        <f>IF(OR(LEFT(C8,2)="FC",LEFT(C8,2)="Ce"),ROUND(L21/C9,0),"Non applicable")</f>
        <v>0</v>
      </c>
      <c r="M22" s="427"/>
      <c r="P22" s="1" t="s">
        <v>512</v>
      </c>
      <c r="Q22" s="341">
        <f>ROUNDUP((L$29-J8)/N18,0)</f>
        <v>6</v>
      </c>
    </row>
    <row r="23" spans="1:37" x14ac:dyDescent="0.25">
      <c r="D23" s="194"/>
      <c r="E23" s="190"/>
      <c r="G23" s="380" t="s">
        <v>210</v>
      </c>
      <c r="H23" s="381"/>
      <c r="I23" s="381"/>
      <c r="J23" s="318">
        <f>J21/C14</f>
        <v>0</v>
      </c>
      <c r="K23" s="318">
        <f>K21/C14</f>
        <v>0</v>
      </c>
      <c r="L23" s="426">
        <f>L21/C14</f>
        <v>0</v>
      </c>
      <c r="M23" s="427"/>
    </row>
    <row r="24" spans="1:37" ht="15.75" thickBot="1" x14ac:dyDescent="0.3">
      <c r="D24" s="194"/>
      <c r="E24" s="190"/>
      <c r="G24" s="387" t="s">
        <v>211</v>
      </c>
      <c r="H24" s="388"/>
      <c r="I24" s="388"/>
      <c r="J24" s="319">
        <f>IF(LEFT(J22,1)="N","Non applicable",ROUND(J23/C9,0))</f>
        <v>0</v>
      </c>
      <c r="K24" s="319">
        <f>IF(LEFT(K22,1)="N","Non applicable",ROUND(K23/C9,0))</f>
        <v>0</v>
      </c>
      <c r="L24" s="395">
        <f>IF(LEFT(K22,1)="N","Non applicable",ROUND(K23/C9,0))</f>
        <v>0</v>
      </c>
      <c r="M24" s="396"/>
    </row>
    <row r="25" spans="1:37" ht="15.75" thickBot="1" x14ac:dyDescent="0.3">
      <c r="D25" s="194"/>
      <c r="E25" s="190"/>
      <c r="G25" s="191"/>
      <c r="H25" s="191"/>
      <c r="I25" s="191"/>
      <c r="J25" s="192"/>
      <c r="P25" s="129"/>
      <c r="Q25" s="129" t="s">
        <v>541</v>
      </c>
    </row>
    <row r="26" spans="1:37" ht="90.75" thickBot="1" x14ac:dyDescent="0.3">
      <c r="B26" s="4"/>
      <c r="G26" s="193"/>
      <c r="K26" s="20" t="s">
        <v>204</v>
      </c>
      <c r="L26" s="21" t="s">
        <v>203</v>
      </c>
      <c r="M26" s="21" t="s">
        <v>205</v>
      </c>
      <c r="P26" s="342" t="s">
        <v>516</v>
      </c>
      <c r="Q26" s="20" t="s">
        <v>517</v>
      </c>
      <c r="T26" s="6" t="s">
        <v>517</v>
      </c>
      <c r="U26" s="6" t="s">
        <v>537</v>
      </c>
      <c r="V26" s="6"/>
      <c r="W26" s="6" t="s">
        <v>538</v>
      </c>
      <c r="X26" s="6"/>
      <c r="Y26" s="6" t="s">
        <v>539</v>
      </c>
      <c r="Z26" s="6" t="s">
        <v>540</v>
      </c>
      <c r="AA26" s="6"/>
      <c r="AB26" s="343" t="s">
        <v>525</v>
      </c>
      <c r="AC26" s="343" t="s">
        <v>526</v>
      </c>
      <c r="AD26" s="343" t="s">
        <v>527</v>
      </c>
      <c r="AE26" s="343" t="s">
        <v>528</v>
      </c>
      <c r="AF26" s="343" t="s">
        <v>529</v>
      </c>
      <c r="AG26" s="343" t="s">
        <v>530</v>
      </c>
      <c r="AH26" s="343" t="s">
        <v>531</v>
      </c>
      <c r="AI26" s="343" t="s">
        <v>532</v>
      </c>
      <c r="AJ26" s="343" t="s">
        <v>533</v>
      </c>
      <c r="AK26" s="343" t="s">
        <v>534</v>
      </c>
    </row>
    <row r="27" spans="1:37" ht="90.75" thickBot="1" x14ac:dyDescent="0.3">
      <c r="A27" s="134" t="s">
        <v>18</v>
      </c>
      <c r="B27" s="18" t="s">
        <v>0</v>
      </c>
      <c r="C27" s="18" t="s">
        <v>24</v>
      </c>
      <c r="D27" s="18" t="s">
        <v>25</v>
      </c>
      <c r="E27" s="18" t="s">
        <v>27</v>
      </c>
      <c r="F27" s="18" t="s">
        <v>47</v>
      </c>
      <c r="G27" s="18" t="s">
        <v>46</v>
      </c>
      <c r="H27" s="18" t="s">
        <v>45</v>
      </c>
      <c r="I27" s="18" t="s">
        <v>165</v>
      </c>
      <c r="J27" s="18" t="s">
        <v>44</v>
      </c>
      <c r="K27" s="18" t="s">
        <v>30</v>
      </c>
      <c r="L27" s="19" t="s">
        <v>29</v>
      </c>
      <c r="M27" s="151" t="s">
        <v>189</v>
      </c>
      <c r="P27" s="18" t="s">
        <v>518</v>
      </c>
      <c r="Q27" s="18" t="s">
        <v>519</v>
      </c>
      <c r="T27" s="16">
        <f>Q28</f>
        <v>767.22999999999956</v>
      </c>
      <c r="U27" s="344">
        <f>N8</f>
        <v>560.71428571428567</v>
      </c>
      <c r="V27" s="6"/>
      <c r="W27" s="16">
        <f>J7</f>
        <v>2409.0599999999995</v>
      </c>
      <c r="X27" s="6"/>
      <c r="Y27" s="6">
        <f>U27*(1+$C$112)</f>
        <v>579.77857142857135</v>
      </c>
      <c r="Z27" s="16">
        <f>K7</f>
        <v>4342.4772009999979</v>
      </c>
      <c r="AA27" s="6"/>
      <c r="AB27" s="6">
        <f>Q14</f>
        <v>1</v>
      </c>
      <c r="AC27" s="6">
        <f>Q13</f>
        <v>2</v>
      </c>
      <c r="AD27" s="6">
        <f>Q18</f>
        <v>3</v>
      </c>
      <c r="AE27" s="6">
        <f>Q17</f>
        <v>4</v>
      </c>
      <c r="AF27" s="6">
        <f>Q22</f>
        <v>6</v>
      </c>
      <c r="AG27" s="6">
        <f>Q21</f>
        <v>7</v>
      </c>
      <c r="AH27" s="14">
        <f>C97</f>
        <v>3</v>
      </c>
      <c r="AI27" s="14">
        <f>C67+C68+C69</f>
        <v>0</v>
      </c>
      <c r="AJ27" s="14">
        <f>D97</f>
        <v>12</v>
      </c>
      <c r="AK27" s="16">
        <f>H97</f>
        <v>877.31</v>
      </c>
    </row>
    <row r="28" spans="1:37" ht="15.75" thickBot="1" x14ac:dyDescent="0.3">
      <c r="M28" s="152"/>
      <c r="P28" s="123">
        <f>K29-C97*C108-D97*C109-C53*C97-D53*C108</f>
        <v>5432.23</v>
      </c>
      <c r="Q28" s="123">
        <f>J7-C97*C108-D97*C109-C53*C97-D53*C108-J76-J78</f>
        <v>767.22999999999956</v>
      </c>
    </row>
    <row r="29" spans="1:37" ht="15.75" thickBot="1" x14ac:dyDescent="0.3">
      <c r="A29" s="358" t="s">
        <v>174</v>
      </c>
      <c r="B29" s="360"/>
      <c r="C29" s="360"/>
      <c r="D29" s="360"/>
      <c r="E29" s="360"/>
      <c r="F29" s="360"/>
      <c r="G29" s="360"/>
      <c r="H29" s="360"/>
      <c r="I29" s="360"/>
      <c r="J29" s="360"/>
      <c r="K29" s="123">
        <f>K53+K97</f>
        <v>6334.0599999999995</v>
      </c>
      <c r="L29" s="135">
        <f>L53+L97</f>
        <v>8400.9272009999986</v>
      </c>
      <c r="M29" s="153">
        <f>M53+M97</f>
        <v>8072.8536960000001</v>
      </c>
    </row>
    <row r="30" spans="1:37" ht="15.75" thickBot="1" x14ac:dyDescent="0.3"/>
    <row r="31" spans="1:37" ht="14.45" customHeight="1" thickBot="1" x14ac:dyDescent="0.3">
      <c r="A31" s="372" t="s">
        <v>167</v>
      </c>
      <c r="B31" s="373"/>
      <c r="C31" s="373"/>
      <c r="D31" s="373"/>
      <c r="E31" s="373"/>
      <c r="F31" s="373"/>
      <c r="G31" s="373"/>
      <c r="H31" s="373"/>
      <c r="I31" s="373"/>
      <c r="J31" s="373"/>
      <c r="K31" s="373"/>
      <c r="L31" s="373"/>
      <c r="M31" s="374"/>
    </row>
    <row r="32" spans="1:37" ht="14.45" customHeight="1" x14ac:dyDescent="0.25">
      <c r="A32" s="368" t="s">
        <v>19</v>
      </c>
      <c r="B32" s="22" t="s">
        <v>14</v>
      </c>
      <c r="C32" s="23"/>
      <c r="D32" s="23"/>
      <c r="E32" s="24">
        <f>C32*C108+C109*D32</f>
        <v>0</v>
      </c>
      <c r="F32" s="82"/>
      <c r="G32" s="82"/>
      <c r="H32" s="83"/>
      <c r="I32" s="25"/>
      <c r="J32" s="26"/>
      <c r="K32" s="24">
        <f>SUM(E32:J32)-F32-G32</f>
        <v>0</v>
      </c>
      <c r="L32" s="24">
        <f>E32*(1+C110)+I32+J32*(1+C112)</f>
        <v>0</v>
      </c>
      <c r="M32" s="154">
        <f>E32*(1+C119)+I32+J32</f>
        <v>0</v>
      </c>
    </row>
    <row r="33" spans="1:13" ht="14.45" customHeight="1" thickBot="1" x14ac:dyDescent="0.3">
      <c r="A33" s="370"/>
      <c r="B33" s="27" t="s">
        <v>13</v>
      </c>
      <c r="C33" s="28"/>
      <c r="D33" s="28"/>
      <c r="E33" s="29">
        <f>C33*C108+C109*D33</f>
        <v>0</v>
      </c>
      <c r="F33" s="84"/>
      <c r="G33" s="84"/>
      <c r="H33" s="85"/>
      <c r="I33" s="30"/>
      <c r="J33" s="31"/>
      <c r="K33" s="29">
        <f t="shared" ref="K33:K48" si="2">SUM(E33:J33)-F33-G33</f>
        <v>0</v>
      </c>
      <c r="L33" s="29">
        <f>E33*(1+C110)+I33+J33*(1+C112)</f>
        <v>0</v>
      </c>
      <c r="M33" s="155">
        <f>E33*(1+C119)+I33+J33</f>
        <v>0</v>
      </c>
    </row>
    <row r="34" spans="1:13" x14ac:dyDescent="0.25">
      <c r="A34" s="368" t="s">
        <v>11</v>
      </c>
      <c r="B34" s="32" t="s">
        <v>2</v>
      </c>
      <c r="C34" s="23"/>
      <c r="D34" s="23"/>
      <c r="E34" s="24">
        <f>C34*C108+C109*D34</f>
        <v>0</v>
      </c>
      <c r="F34" s="82"/>
      <c r="G34" s="82"/>
      <c r="H34" s="83"/>
      <c r="I34" s="25"/>
      <c r="J34" s="26"/>
      <c r="K34" s="24">
        <f t="shared" si="2"/>
        <v>0</v>
      </c>
      <c r="L34" s="24">
        <f>E34*(1+C110)+I34+J34*(1+C112)</f>
        <v>0</v>
      </c>
      <c r="M34" s="154">
        <f>E34*(1+C119)+I34+J34</f>
        <v>0</v>
      </c>
    </row>
    <row r="35" spans="1:13" x14ac:dyDescent="0.25">
      <c r="A35" s="369"/>
      <c r="B35" s="5" t="s">
        <v>3</v>
      </c>
      <c r="C35" s="14"/>
      <c r="D35" s="14"/>
      <c r="E35" s="15">
        <f>C35*C108+C109*D35</f>
        <v>0</v>
      </c>
      <c r="F35" s="86"/>
      <c r="G35" s="86"/>
      <c r="H35" s="87"/>
      <c r="I35" s="16"/>
      <c r="J35" s="17"/>
      <c r="K35" s="15">
        <f t="shared" si="2"/>
        <v>0</v>
      </c>
      <c r="L35" s="15">
        <f>E35*(1+C110)+I35+J35*(1+C112)</f>
        <v>0</v>
      </c>
      <c r="M35" s="156">
        <f>E35*(1+C119)+I35+J35</f>
        <v>0</v>
      </c>
    </row>
    <row r="36" spans="1:13" x14ac:dyDescent="0.25">
      <c r="A36" s="369"/>
      <c r="B36" s="5" t="s">
        <v>4</v>
      </c>
      <c r="C36" s="14"/>
      <c r="D36" s="14"/>
      <c r="E36" s="15">
        <f>C36*C108+C109*D36</f>
        <v>0</v>
      </c>
      <c r="F36" s="86"/>
      <c r="G36" s="86"/>
      <c r="H36" s="87"/>
      <c r="I36" s="16"/>
      <c r="J36" s="17"/>
      <c r="K36" s="15">
        <f t="shared" si="2"/>
        <v>0</v>
      </c>
      <c r="L36" s="15">
        <f>E36*(1+C110)+I36+J36*(1+C112)</f>
        <v>0</v>
      </c>
      <c r="M36" s="156">
        <f>E36*(1+C119)+I36+J36</f>
        <v>0</v>
      </c>
    </row>
    <row r="37" spans="1:13" ht="15.75" thickBot="1" x14ac:dyDescent="0.3">
      <c r="A37" s="370"/>
      <c r="B37" s="33" t="s">
        <v>5</v>
      </c>
      <c r="C37" s="28"/>
      <c r="D37" s="28"/>
      <c r="E37" s="29">
        <f>C37*C108+C109*D37</f>
        <v>0</v>
      </c>
      <c r="F37" s="84"/>
      <c r="G37" s="84"/>
      <c r="H37" s="85"/>
      <c r="I37" s="30"/>
      <c r="J37" s="31"/>
      <c r="K37" s="29">
        <f t="shared" si="2"/>
        <v>0</v>
      </c>
      <c r="L37" s="29">
        <f>E37*(1+C110)+I37+J37*(1+C112)</f>
        <v>0</v>
      </c>
      <c r="M37" s="155">
        <f>E37*(1+C119)+I37+J37</f>
        <v>0</v>
      </c>
    </row>
    <row r="38" spans="1:13" x14ac:dyDescent="0.25">
      <c r="A38" s="368" t="s">
        <v>12</v>
      </c>
      <c r="B38" s="22" t="s">
        <v>6</v>
      </c>
      <c r="C38" s="23"/>
      <c r="D38" s="23"/>
      <c r="E38" s="24">
        <f>C38*C108+C109*D38</f>
        <v>0</v>
      </c>
      <c r="F38" s="82"/>
      <c r="G38" s="82"/>
      <c r="H38" s="83"/>
      <c r="I38" s="25"/>
      <c r="J38" s="26"/>
      <c r="K38" s="24">
        <f t="shared" si="2"/>
        <v>0</v>
      </c>
      <c r="L38" s="24">
        <f>E38*(1+C110)+I38+J38*(1+C112)</f>
        <v>0</v>
      </c>
      <c r="M38" s="154">
        <f>E38*(1+C119)+I38+J38</f>
        <v>0</v>
      </c>
    </row>
    <row r="39" spans="1:13" x14ac:dyDescent="0.25">
      <c r="A39" s="369"/>
      <c r="B39" s="8" t="s">
        <v>7</v>
      </c>
      <c r="C39" s="14"/>
      <c r="D39" s="14"/>
      <c r="E39" s="15">
        <f>C39*C108+C109*D39</f>
        <v>0</v>
      </c>
      <c r="F39" s="86"/>
      <c r="G39" s="86"/>
      <c r="H39" s="87"/>
      <c r="I39" s="16"/>
      <c r="J39" s="17"/>
      <c r="K39" s="15">
        <f t="shared" si="2"/>
        <v>0</v>
      </c>
      <c r="L39" s="15">
        <f>E39*(1+C110)+I39+J39*(1+C112)</f>
        <v>0</v>
      </c>
      <c r="M39" s="156">
        <f>E39*(1+C119)+I39+J39</f>
        <v>0</v>
      </c>
    </row>
    <row r="40" spans="1:13" x14ac:dyDescent="0.25">
      <c r="A40" s="369"/>
      <c r="B40" s="5" t="s">
        <v>8</v>
      </c>
      <c r="C40" s="14"/>
      <c r="D40" s="14"/>
      <c r="E40" s="15">
        <f>C40*C108+C109*D40</f>
        <v>0</v>
      </c>
      <c r="F40" s="86"/>
      <c r="G40" s="86"/>
      <c r="H40" s="87"/>
      <c r="I40" s="16"/>
      <c r="J40" s="17"/>
      <c r="K40" s="15">
        <f t="shared" si="2"/>
        <v>0</v>
      </c>
      <c r="L40" s="15">
        <f>E40*(1+C110)+I40+J40*(1+C112)</f>
        <v>0</v>
      </c>
      <c r="M40" s="156">
        <f>E40*(1+C119)+I40+J40</f>
        <v>0</v>
      </c>
    </row>
    <row r="41" spans="1:13" x14ac:dyDescent="0.25">
      <c r="A41" s="369"/>
      <c r="B41" s="186" t="s">
        <v>199</v>
      </c>
      <c r="C41" s="14"/>
      <c r="D41" s="14"/>
      <c r="E41" s="15">
        <f>C41*C108+C109*D41</f>
        <v>0</v>
      </c>
      <c r="F41" s="86"/>
      <c r="G41" s="86"/>
      <c r="H41" s="87"/>
      <c r="I41" s="16"/>
      <c r="J41" s="17"/>
      <c r="K41" s="15">
        <f t="shared" si="2"/>
        <v>0</v>
      </c>
      <c r="L41" s="15">
        <f>E41*(1+C110)+I41+J41*(1+C112)</f>
        <v>0</v>
      </c>
      <c r="M41" s="156">
        <f>E41*(1+C119)+I41+J41</f>
        <v>0</v>
      </c>
    </row>
    <row r="42" spans="1:13" x14ac:dyDescent="0.25">
      <c r="A42" s="369"/>
      <c r="B42" s="186" t="s">
        <v>199</v>
      </c>
      <c r="C42" s="14"/>
      <c r="D42" s="14"/>
      <c r="E42" s="15">
        <f>C42*C108+C109*D42</f>
        <v>0</v>
      </c>
      <c r="F42" s="86"/>
      <c r="G42" s="86"/>
      <c r="H42" s="87"/>
      <c r="I42" s="16"/>
      <c r="J42" s="17"/>
      <c r="K42" s="15">
        <f t="shared" si="2"/>
        <v>0</v>
      </c>
      <c r="L42" s="15">
        <f>E42*(1+C110)+I42+J42*(1+C112)</f>
        <v>0</v>
      </c>
      <c r="M42" s="156">
        <f>E42*(1+C119)+I42+J42</f>
        <v>0</v>
      </c>
    </row>
    <row r="43" spans="1:13" x14ac:dyDescent="0.25">
      <c r="A43" s="369"/>
      <c r="B43" s="186" t="s">
        <v>199</v>
      </c>
      <c r="C43" s="14"/>
      <c r="D43" s="14"/>
      <c r="E43" s="15">
        <f>C43*C108+C109*D43</f>
        <v>0</v>
      </c>
      <c r="F43" s="86"/>
      <c r="G43" s="86"/>
      <c r="H43" s="87"/>
      <c r="I43" s="16"/>
      <c r="J43" s="17"/>
      <c r="K43" s="15">
        <f t="shared" si="2"/>
        <v>0</v>
      </c>
      <c r="L43" s="15">
        <f>E43*(1+C110)+I43+J43*(1+C112)</f>
        <v>0</v>
      </c>
      <c r="M43" s="156">
        <f>E43*(1+C119)+I43+J43</f>
        <v>0</v>
      </c>
    </row>
    <row r="44" spans="1:13" x14ac:dyDescent="0.25">
      <c r="A44" s="369"/>
      <c r="B44" s="186" t="s">
        <v>199</v>
      </c>
      <c r="C44" s="14"/>
      <c r="D44" s="14"/>
      <c r="E44" s="15">
        <f>C44*C108+C109*D44</f>
        <v>0</v>
      </c>
      <c r="F44" s="86"/>
      <c r="G44" s="86"/>
      <c r="H44" s="87"/>
      <c r="I44" s="16"/>
      <c r="J44" s="17"/>
      <c r="K44" s="15">
        <f t="shared" si="2"/>
        <v>0</v>
      </c>
      <c r="L44" s="15">
        <f>E44*(1+C110)+I44+J44*(1+C112)</f>
        <v>0</v>
      </c>
      <c r="M44" s="156">
        <f>E44*(1+C119)+I44+J44</f>
        <v>0</v>
      </c>
    </row>
    <row r="45" spans="1:13" x14ac:dyDescent="0.25">
      <c r="A45" s="369"/>
      <c r="B45" s="7" t="s">
        <v>9</v>
      </c>
      <c r="C45" s="14"/>
      <c r="D45" s="14"/>
      <c r="E45" s="15">
        <f>C45*C108+C109*D45</f>
        <v>0</v>
      </c>
      <c r="F45" s="86"/>
      <c r="G45" s="86"/>
      <c r="H45" s="87"/>
      <c r="I45" s="16"/>
      <c r="J45" s="17"/>
      <c r="K45" s="15">
        <f t="shared" si="2"/>
        <v>0</v>
      </c>
      <c r="L45" s="15">
        <f>E45*(1+C110)+I45+J45*(1+C112)</f>
        <v>0</v>
      </c>
      <c r="M45" s="156">
        <f>E45*(1+C119)+I45+J45</f>
        <v>0</v>
      </c>
    </row>
    <row r="46" spans="1:13" x14ac:dyDescent="0.25">
      <c r="A46" s="371"/>
      <c r="B46" s="5" t="s">
        <v>10</v>
      </c>
      <c r="C46" s="219"/>
      <c r="D46" s="14"/>
      <c r="E46" s="15">
        <f>C46*C108+C109*D46</f>
        <v>0</v>
      </c>
      <c r="F46" s="86"/>
      <c r="G46" s="86"/>
      <c r="H46" s="87"/>
      <c r="I46" s="79"/>
      <c r="J46" s="78"/>
      <c r="K46" s="77">
        <f t="shared" si="2"/>
        <v>0</v>
      </c>
      <c r="L46" s="15">
        <f>E46*(1+C110)+I46+J46*(1+C112)</f>
        <v>0</v>
      </c>
      <c r="M46" s="156">
        <f>E46*(1+C119)+I46+J46</f>
        <v>0</v>
      </c>
    </row>
    <row r="47" spans="1:13" ht="15.75" thickBot="1" x14ac:dyDescent="0.3">
      <c r="A47" s="371"/>
      <c r="B47" s="222" t="s">
        <v>223</v>
      </c>
      <c r="C47" s="223"/>
      <c r="D47" s="224">
        <v>7</v>
      </c>
      <c r="E47" s="225">
        <f>C47*C108+C109*D47</f>
        <v>273.83999999999997</v>
      </c>
      <c r="F47" s="226"/>
      <c r="G47" s="226"/>
      <c r="H47" s="227"/>
      <c r="I47" s="228"/>
      <c r="J47" s="229"/>
      <c r="K47" s="225">
        <f t="shared" si="2"/>
        <v>273.83999999999997</v>
      </c>
      <c r="L47" s="225">
        <f>E47*(1+C110)+I47+J47*(1+C112)</f>
        <v>589.55013599999984</v>
      </c>
      <c r="M47" s="230">
        <f>E47*(1+C119)+I47+J47</f>
        <v>559.07174399999997</v>
      </c>
    </row>
    <row r="48" spans="1:13" ht="15.75" thickBot="1" x14ac:dyDescent="0.3">
      <c r="A48" s="371"/>
      <c r="B48" s="173" t="s">
        <v>26</v>
      </c>
      <c r="C48" s="172"/>
      <c r="D48" s="88"/>
      <c r="E48" s="89"/>
      <c r="F48" s="88"/>
      <c r="G48" s="88"/>
      <c r="H48" s="89"/>
      <c r="I48" s="220"/>
      <c r="J48" s="175"/>
      <c r="K48" s="221">
        <f t="shared" si="2"/>
        <v>0</v>
      </c>
      <c r="L48" s="77">
        <f>E48*(1+C110)+I48+J48*(1+C112)</f>
        <v>0</v>
      </c>
      <c r="M48" s="157">
        <f>E48*(1+C119)+I48+J48</f>
        <v>0</v>
      </c>
    </row>
    <row r="49" spans="1:13" ht="14.45" customHeight="1" thickBot="1" x14ac:dyDescent="0.3">
      <c r="A49" s="358" t="s">
        <v>15</v>
      </c>
      <c r="B49" s="400"/>
      <c r="C49" s="80">
        <f>SUM(C32:C48)</f>
        <v>0</v>
      </c>
      <c r="D49" s="80">
        <f>SUM(D32:D48)</f>
        <v>7</v>
      </c>
      <c r="E49" s="81">
        <f>SUM(E32:E46)</f>
        <v>0</v>
      </c>
      <c r="F49" s="90"/>
      <c r="G49" s="90"/>
      <c r="H49" s="91"/>
      <c r="I49" s="81">
        <f>SUM(I32:I46)</f>
        <v>0</v>
      </c>
      <c r="J49" s="174">
        <f>SUM(J32:J48)</f>
        <v>0</v>
      </c>
      <c r="K49" s="81">
        <f>SUM(K32:K48)</f>
        <v>273.83999999999997</v>
      </c>
      <c r="L49" s="81">
        <f>SUM(L32:L48)</f>
        <v>589.55013599999984</v>
      </c>
      <c r="M49" s="158">
        <f t="shared" ref="M49" si="3">SUM(M32:M48)</f>
        <v>559.07174399999997</v>
      </c>
    </row>
    <row r="50" spans="1:13" ht="29.45" customHeight="1" thickBot="1" x14ac:dyDescent="0.3">
      <c r="A50" s="361" t="s">
        <v>196</v>
      </c>
      <c r="B50" s="362"/>
      <c r="C50" s="362"/>
      <c r="D50" s="362"/>
      <c r="E50" s="362"/>
      <c r="F50" s="362"/>
      <c r="G50" s="362"/>
      <c r="H50" s="362"/>
      <c r="I50" s="180">
        <v>1</v>
      </c>
      <c r="J50" s="178"/>
      <c r="K50" s="178"/>
      <c r="L50" s="179"/>
    </row>
    <row r="51" spans="1:13" ht="15.75" thickBot="1" x14ac:dyDescent="0.3">
      <c r="A51" s="358" t="s">
        <v>166</v>
      </c>
      <c r="B51" s="359"/>
      <c r="C51" s="80">
        <f>IF(I50=0,0,ROUND(C49/I50,0))</f>
        <v>0</v>
      </c>
      <c r="D51" s="80">
        <f>IF(I50=0,0,ROUND(D49/I50,0))</f>
        <v>7</v>
      </c>
      <c r="E51" s="81">
        <f>IF(I50=0,0,ROUND(E49/I50,0))</f>
        <v>0</v>
      </c>
      <c r="F51" s="90"/>
      <c r="G51" s="90"/>
      <c r="H51" s="91"/>
      <c r="I51" s="81">
        <f>IF(I50=0,0,ROUND(I49/I50,0))</f>
        <v>0</v>
      </c>
      <c r="J51" s="81">
        <f>IF(I50=0,0,ROUND(J49/I50,0))</f>
        <v>0</v>
      </c>
      <c r="K51" s="81">
        <f>IF(I50=0,0,ROUND(K49/I50,0))</f>
        <v>274</v>
      </c>
      <c r="L51" s="81">
        <f>IF(I50=0,0,ROUND(L49/I50,0))</f>
        <v>590</v>
      </c>
      <c r="M51" s="148">
        <f>IF(I50=0,0,ROUND(M49/I50,0))</f>
        <v>559</v>
      </c>
    </row>
    <row r="52" spans="1:13" ht="15.75" thickBot="1" x14ac:dyDescent="0.3">
      <c r="B52" s="124"/>
      <c r="C52" s="124"/>
      <c r="D52" s="124"/>
      <c r="E52" s="124"/>
      <c r="F52" s="363" t="s">
        <v>169</v>
      </c>
      <c r="G52" s="364"/>
      <c r="H52" s="365"/>
      <c r="I52" s="125">
        <v>2</v>
      </c>
      <c r="J52" s="124"/>
      <c r="K52" s="124"/>
      <c r="L52" s="149"/>
    </row>
    <row r="53" spans="1:13" ht="15.75" thickBot="1" x14ac:dyDescent="0.3">
      <c r="A53" s="358" t="s">
        <v>170</v>
      </c>
      <c r="B53" s="359"/>
      <c r="C53" s="80">
        <f>ROUND(C51/I52,0)</f>
        <v>0</v>
      </c>
      <c r="D53" s="80">
        <f>ROUND(D51/I52,0)</f>
        <v>4</v>
      </c>
      <c r="E53" s="81">
        <f>ROUND(E51/I52,0)</f>
        <v>0</v>
      </c>
      <c r="F53" s="90"/>
      <c r="G53" s="90"/>
      <c r="H53" s="91"/>
      <c r="I53" s="81">
        <f>ROUND(I51/I52,0)</f>
        <v>0</v>
      </c>
      <c r="J53" s="81">
        <f>ROUND(J51/I52,0)</f>
        <v>0</v>
      </c>
      <c r="K53" s="81">
        <f>ROUND(K51/I52,0)</f>
        <v>137</v>
      </c>
      <c r="L53" s="81">
        <f>ROUND(L51/I52,0)</f>
        <v>295</v>
      </c>
      <c r="M53" s="148">
        <f>ROUND(M51/I52,0)</f>
        <v>280</v>
      </c>
    </row>
    <row r="54" spans="1:13" ht="15.75" thickBot="1" x14ac:dyDescent="0.3"/>
    <row r="55" spans="1:13" ht="15.75" thickBot="1" x14ac:dyDescent="0.3">
      <c r="A55" s="372" t="s">
        <v>168</v>
      </c>
      <c r="B55" s="373"/>
      <c r="C55" s="373"/>
      <c r="D55" s="373"/>
      <c r="E55" s="373"/>
      <c r="F55" s="373"/>
      <c r="G55" s="373"/>
      <c r="H55" s="373"/>
      <c r="I55" s="373"/>
      <c r="J55" s="373"/>
      <c r="K55" s="373"/>
      <c r="L55" s="373"/>
      <c r="M55" s="374"/>
    </row>
    <row r="56" spans="1:13" x14ac:dyDescent="0.25">
      <c r="A56" s="369" t="s">
        <v>32</v>
      </c>
      <c r="B56" s="138" t="s">
        <v>33</v>
      </c>
      <c r="C56" s="139"/>
      <c r="D56" s="139"/>
      <c r="E56" s="140">
        <f>C56*C108+C109*D56</f>
        <v>0</v>
      </c>
      <c r="F56" s="141"/>
      <c r="G56" s="141"/>
      <c r="H56" s="142"/>
      <c r="I56" s="143"/>
      <c r="J56" s="144"/>
      <c r="K56" s="140">
        <f>SUM(E56:J56)-F56-G56</f>
        <v>0</v>
      </c>
      <c r="L56" s="150">
        <f>E56*(1+C110)+I56+J56*(1+C112)</f>
        <v>0</v>
      </c>
      <c r="M56" s="159">
        <f>E56*(1+C119)+I56+J56</f>
        <v>0</v>
      </c>
    </row>
    <row r="57" spans="1:13" x14ac:dyDescent="0.25">
      <c r="A57" s="369"/>
      <c r="B57" s="5" t="s">
        <v>34</v>
      </c>
      <c r="C57" s="14"/>
      <c r="D57" s="14"/>
      <c r="E57" s="15">
        <f>C57*C108+C109*D57</f>
        <v>0</v>
      </c>
      <c r="F57" s="86"/>
      <c r="G57" s="86"/>
      <c r="H57" s="87"/>
      <c r="I57" s="16"/>
      <c r="J57" s="17"/>
      <c r="K57" s="15">
        <f t="shared" ref="K57:K96" si="4">SUM(E57:J57)-F57-G57</f>
        <v>0</v>
      </c>
      <c r="L57" s="77">
        <f>E57*(1+C110)+I57+J57*(1+C112)</f>
        <v>0</v>
      </c>
      <c r="M57" s="156">
        <f>E57*(1+C119)+I57+J57</f>
        <v>0</v>
      </c>
    </row>
    <row r="58" spans="1:13" x14ac:dyDescent="0.25">
      <c r="A58" s="369"/>
      <c r="B58" s="5" t="s">
        <v>35</v>
      </c>
      <c r="C58" s="14"/>
      <c r="D58" s="14"/>
      <c r="E58" s="15">
        <f>C58*C108+C109*D58</f>
        <v>0</v>
      </c>
      <c r="F58" s="86"/>
      <c r="G58" s="86"/>
      <c r="H58" s="87"/>
      <c r="I58" s="16"/>
      <c r="J58" s="17"/>
      <c r="K58" s="15">
        <f t="shared" si="4"/>
        <v>0</v>
      </c>
      <c r="L58" s="77">
        <f>E58*(1+C110)+I58+J58*(1+C112)</f>
        <v>0</v>
      </c>
      <c r="M58" s="156">
        <f>E58*(1+C119)+I58+J58</f>
        <v>0</v>
      </c>
    </row>
    <row r="59" spans="1:13" x14ac:dyDescent="0.25">
      <c r="A59" s="369"/>
      <c r="B59" s="5" t="s">
        <v>36</v>
      </c>
      <c r="C59" s="14"/>
      <c r="D59" s="14"/>
      <c r="E59" s="15">
        <f>C59*C108+C109*D59</f>
        <v>0</v>
      </c>
      <c r="F59" s="86"/>
      <c r="G59" s="86"/>
      <c r="H59" s="87"/>
      <c r="I59" s="16"/>
      <c r="J59" s="17"/>
      <c r="K59" s="15">
        <f t="shared" si="4"/>
        <v>0</v>
      </c>
      <c r="L59" s="77">
        <f>E59*(1+C110)+I59+J59*(1+C112)</f>
        <v>0</v>
      </c>
      <c r="M59" s="156">
        <f>E59*(1+C119)+I59+J59</f>
        <v>0</v>
      </c>
    </row>
    <row r="60" spans="1:13" x14ac:dyDescent="0.25">
      <c r="A60" s="369"/>
      <c r="B60" s="5" t="s">
        <v>37</v>
      </c>
      <c r="C60" s="14"/>
      <c r="D60" s="14"/>
      <c r="E60" s="15">
        <f>C60*C108+C109*D60</f>
        <v>0</v>
      </c>
      <c r="F60" s="86"/>
      <c r="G60" s="86"/>
      <c r="H60" s="87"/>
      <c r="I60" s="16"/>
      <c r="J60" s="17"/>
      <c r="K60" s="15">
        <f t="shared" si="4"/>
        <v>0</v>
      </c>
      <c r="L60" s="77">
        <f>E60*(1+C110)+I60+J60*(1+C112)</f>
        <v>0</v>
      </c>
      <c r="M60" s="156">
        <f>E60*(1+C119)+I60+J60</f>
        <v>0</v>
      </c>
    </row>
    <row r="61" spans="1:13" x14ac:dyDescent="0.25">
      <c r="A61" s="367"/>
      <c r="B61" s="6" t="s">
        <v>38</v>
      </c>
      <c r="C61" s="14"/>
      <c r="D61" s="14"/>
      <c r="E61" s="15">
        <f>C61*C108+C109*D61</f>
        <v>0</v>
      </c>
      <c r="F61" s="86"/>
      <c r="G61" s="86"/>
      <c r="H61" s="87"/>
      <c r="I61" s="16"/>
      <c r="J61" s="17"/>
      <c r="K61" s="15">
        <f>SUM(E61:J61)-F61-G61</f>
        <v>0</v>
      </c>
      <c r="L61" s="77">
        <f>E61*(1+C110)+I61+J61*(1+C112)</f>
        <v>0</v>
      </c>
      <c r="M61" s="156">
        <f>E61*(1+C119)+I61+J61</f>
        <v>0</v>
      </c>
    </row>
    <row r="62" spans="1:13" x14ac:dyDescent="0.25">
      <c r="A62" s="375" t="s">
        <v>201</v>
      </c>
      <c r="B62" s="186" t="s">
        <v>202</v>
      </c>
      <c r="C62" s="14"/>
      <c r="D62" s="14"/>
      <c r="E62" s="15">
        <f>C62*C108+C109*D62</f>
        <v>0</v>
      </c>
      <c r="F62" s="86"/>
      <c r="G62" s="86"/>
      <c r="H62" s="87"/>
      <c r="I62" s="16"/>
      <c r="J62" s="17"/>
      <c r="K62" s="15">
        <f t="shared" ref="K62:K66" si="5">SUM(E62:J62)-F62-G62</f>
        <v>0</v>
      </c>
      <c r="L62" s="77">
        <f>E62*(1+C110)+I62+J62*(1+C112)</f>
        <v>0</v>
      </c>
      <c r="M62" s="156">
        <f>E62*(1+C119)+I62+J62</f>
        <v>0</v>
      </c>
    </row>
    <row r="63" spans="1:13" x14ac:dyDescent="0.25">
      <c r="A63" s="376"/>
      <c r="B63" s="186" t="s">
        <v>202</v>
      </c>
      <c r="C63" s="14"/>
      <c r="D63" s="14"/>
      <c r="E63" s="15">
        <f>C63*C108+C109*D63</f>
        <v>0</v>
      </c>
      <c r="F63" s="86"/>
      <c r="G63" s="86"/>
      <c r="H63" s="87"/>
      <c r="I63" s="16"/>
      <c r="J63" s="17"/>
      <c r="K63" s="15">
        <f t="shared" si="5"/>
        <v>0</v>
      </c>
      <c r="L63" s="77">
        <f>E63*(1+C110)+I63+J63*(1+C112)</f>
        <v>0</v>
      </c>
      <c r="M63" s="156">
        <f>E63*(1+C119)+I63+J63</f>
        <v>0</v>
      </c>
    </row>
    <row r="64" spans="1:13" x14ac:dyDescent="0.25">
      <c r="A64" s="376"/>
      <c r="B64" s="186" t="s">
        <v>202</v>
      </c>
      <c r="C64" s="14"/>
      <c r="D64" s="14"/>
      <c r="E64" s="15">
        <f>C64*C108+C109*D64</f>
        <v>0</v>
      </c>
      <c r="F64" s="86"/>
      <c r="G64" s="86"/>
      <c r="H64" s="87"/>
      <c r="I64" s="16"/>
      <c r="J64" s="17"/>
      <c r="K64" s="15">
        <f t="shared" si="5"/>
        <v>0</v>
      </c>
      <c r="L64" s="77">
        <f>E64*(1+C110)+I64+J64*(1+C112)</f>
        <v>0</v>
      </c>
      <c r="M64" s="156">
        <f>E64*(1+C119)+I64+J64</f>
        <v>0</v>
      </c>
    </row>
    <row r="65" spans="1:14" x14ac:dyDescent="0.25">
      <c r="A65" s="376"/>
      <c r="B65" s="186" t="s">
        <v>202</v>
      </c>
      <c r="C65" s="14"/>
      <c r="D65" s="14"/>
      <c r="E65" s="15">
        <f>C65*C108+C109*D65</f>
        <v>0</v>
      </c>
      <c r="F65" s="86"/>
      <c r="G65" s="86"/>
      <c r="H65" s="87"/>
      <c r="I65" s="16"/>
      <c r="J65" s="17"/>
      <c r="K65" s="15">
        <f t="shared" si="5"/>
        <v>0</v>
      </c>
      <c r="L65" s="77">
        <f>E65*(1+C110)+I65+J65*(1+C112)</f>
        <v>0</v>
      </c>
      <c r="M65" s="156">
        <f>E65*(1+C119)+I65+J65</f>
        <v>0</v>
      </c>
    </row>
    <row r="66" spans="1:14" x14ac:dyDescent="0.25">
      <c r="A66" s="377"/>
      <c r="B66" s="186" t="s">
        <v>202</v>
      </c>
      <c r="C66" s="14"/>
      <c r="D66" s="14"/>
      <c r="E66" s="15">
        <f>C66*C108+C109*D66</f>
        <v>0</v>
      </c>
      <c r="F66" s="86"/>
      <c r="G66" s="86"/>
      <c r="H66" s="87"/>
      <c r="I66" s="16"/>
      <c r="J66" s="17"/>
      <c r="K66" s="15">
        <f t="shared" si="5"/>
        <v>0</v>
      </c>
      <c r="L66" s="77">
        <f>E66*(1+C110)+I66+J66*(1+C112)</f>
        <v>0</v>
      </c>
      <c r="M66" s="156">
        <f>E66*(1+C119)+I66+J66</f>
        <v>0</v>
      </c>
    </row>
    <row r="67" spans="1:14" x14ac:dyDescent="0.25">
      <c r="A67" s="366" t="s">
        <v>39</v>
      </c>
      <c r="B67" s="7" t="s">
        <v>40</v>
      </c>
      <c r="C67" s="14"/>
      <c r="D67" s="14"/>
      <c r="E67" s="15">
        <f>C67*C108+C109*D67</f>
        <v>0</v>
      </c>
      <c r="F67" s="17">
        <v>7</v>
      </c>
      <c r="G67" s="17"/>
      <c r="H67" s="15">
        <f>F67*C116+C113*G67</f>
        <v>433.37</v>
      </c>
      <c r="I67" s="16"/>
      <c r="J67" s="17"/>
      <c r="K67" s="15">
        <f t="shared" si="4"/>
        <v>433.37</v>
      </c>
      <c r="L67" s="77">
        <f>E67*(1+C110)+H67*(1+C111)+I67+J67*(1+C112)</f>
        <v>925.07160199999998</v>
      </c>
      <c r="M67" s="156">
        <f>E67*(1+C119)+H67*(1+C119)+I67+J67</f>
        <v>884.768192</v>
      </c>
    </row>
    <row r="68" spans="1:14" x14ac:dyDescent="0.25">
      <c r="A68" s="369"/>
      <c r="B68" s="7" t="s">
        <v>41</v>
      </c>
      <c r="C68" s="14"/>
      <c r="D68" s="14"/>
      <c r="E68" s="15">
        <f>C68*C108+C109*D68</f>
        <v>0</v>
      </c>
      <c r="F68" s="17"/>
      <c r="G68" s="17"/>
      <c r="H68" s="15">
        <f>F68*C117+C114*G68</f>
        <v>0</v>
      </c>
      <c r="I68" s="16"/>
      <c r="J68" s="17"/>
      <c r="K68" s="15">
        <f t="shared" si="4"/>
        <v>0</v>
      </c>
      <c r="L68" s="77">
        <f>E68*(1+C110)+H68*(1+C111)+I68+J68*(1+C112)</f>
        <v>0</v>
      </c>
      <c r="M68" s="156">
        <f>E68*(1+C119)+H68*(1+C119)+I68+J68</f>
        <v>0</v>
      </c>
    </row>
    <row r="69" spans="1:14" x14ac:dyDescent="0.25">
      <c r="A69" s="369"/>
      <c r="B69" s="7" t="s">
        <v>42</v>
      </c>
      <c r="C69" s="14"/>
      <c r="D69" s="14"/>
      <c r="E69" s="15">
        <f>C69*C108+C109*D69</f>
        <v>0</v>
      </c>
      <c r="F69" s="17">
        <v>14</v>
      </c>
      <c r="G69" s="17"/>
      <c r="H69" s="15">
        <f>F69*C118+C115*G69</f>
        <v>443.94</v>
      </c>
      <c r="I69" s="16"/>
      <c r="J69" s="17"/>
      <c r="K69" s="15">
        <f t="shared" si="4"/>
        <v>443.94</v>
      </c>
      <c r="L69" s="77">
        <f>E69*(1+C110)+H69*(1+C111)+I69+J69*(1+C112)</f>
        <v>947.63432399999988</v>
      </c>
      <c r="M69" s="156">
        <f>E69*(1+C119)+H69*(1+C119)+I69+J69</f>
        <v>906.34790399999997</v>
      </c>
      <c r="N69" s="337"/>
    </row>
    <row r="70" spans="1:14" ht="15.75" thickBot="1" x14ac:dyDescent="0.3">
      <c r="A70" s="369"/>
      <c r="B70" s="170" t="s">
        <v>43</v>
      </c>
      <c r="C70" s="14"/>
      <c r="D70" s="14"/>
      <c r="E70" s="15">
        <f>C70*C108+C109*D70</f>
        <v>0</v>
      </c>
      <c r="F70" s="87"/>
      <c r="G70" s="87"/>
      <c r="H70" s="92"/>
      <c r="I70" s="16"/>
      <c r="J70" s="78"/>
      <c r="K70" s="15">
        <f t="shared" si="4"/>
        <v>0</v>
      </c>
      <c r="L70" s="77">
        <f>E70*(1+C110)+I70+J70*(1+C112)</f>
        <v>0</v>
      </c>
      <c r="M70" s="156">
        <f>E70*(1+C119)+I70+J70</f>
        <v>0</v>
      </c>
    </row>
    <row r="71" spans="1:14" ht="16.5" thickTop="1" thickBot="1" x14ac:dyDescent="0.3">
      <c r="A71" s="389"/>
      <c r="B71" s="171" t="s">
        <v>193</v>
      </c>
      <c r="C71" s="169"/>
      <c r="D71" s="86"/>
      <c r="E71" s="87"/>
      <c r="F71" s="87"/>
      <c r="G71" s="87"/>
      <c r="H71" s="92"/>
      <c r="I71" s="176"/>
      <c r="J71" s="168"/>
      <c r="K71" s="167">
        <f t="shared" si="4"/>
        <v>0</v>
      </c>
      <c r="L71" s="77">
        <f>E71*(1+C110)+I71+J71*(1+C112)</f>
        <v>0</v>
      </c>
      <c r="M71" s="156">
        <f>E71*(1+C119)+I71+J71</f>
        <v>0</v>
      </c>
    </row>
    <row r="72" spans="1:14" ht="15.75" thickTop="1" x14ac:dyDescent="0.25">
      <c r="A72" s="366" t="s">
        <v>55</v>
      </c>
      <c r="B72" s="138" t="s">
        <v>56</v>
      </c>
      <c r="C72" s="36"/>
      <c r="D72" s="36"/>
      <c r="E72" s="15">
        <f>C72*C108+C109*D72</f>
        <v>0</v>
      </c>
      <c r="F72" s="87"/>
      <c r="G72" s="87"/>
      <c r="H72" s="92"/>
      <c r="I72" s="16"/>
      <c r="J72" s="144"/>
      <c r="K72" s="15">
        <f t="shared" si="4"/>
        <v>0</v>
      </c>
      <c r="L72" s="77">
        <f>E72*(1+C110)+I72+J72*(1+C112)</f>
        <v>0</v>
      </c>
      <c r="M72" s="156">
        <f>E72*(1+C119)+I72+J72</f>
        <v>0</v>
      </c>
    </row>
    <row r="73" spans="1:14" x14ac:dyDescent="0.25">
      <c r="A73" s="367"/>
      <c r="B73" s="5" t="s">
        <v>57</v>
      </c>
      <c r="C73" s="36"/>
      <c r="D73" s="36"/>
      <c r="E73" s="15">
        <f>C73*C108+C109*D73</f>
        <v>0</v>
      </c>
      <c r="F73" s="87"/>
      <c r="G73" s="87"/>
      <c r="H73" s="92"/>
      <c r="I73" s="16"/>
      <c r="J73" s="17"/>
      <c r="K73" s="15">
        <f t="shared" si="4"/>
        <v>0</v>
      </c>
      <c r="L73" s="77">
        <f>E73*(1+C110)+I73+J73*(1+C112)</f>
        <v>0</v>
      </c>
      <c r="M73" s="156">
        <f>E73*(1+C119)+I73+J73</f>
        <v>0</v>
      </c>
    </row>
    <row r="74" spans="1:14" x14ac:dyDescent="0.25">
      <c r="A74" s="366" t="s">
        <v>58</v>
      </c>
      <c r="B74" s="5" t="s">
        <v>60</v>
      </c>
      <c r="C74" s="36">
        <v>2</v>
      </c>
      <c r="D74" s="36">
        <v>5</v>
      </c>
      <c r="E74" s="15">
        <f>C74*C108+C109*D74</f>
        <v>319.14</v>
      </c>
      <c r="F74" s="87"/>
      <c r="G74" s="87"/>
      <c r="H74" s="92"/>
      <c r="I74" s="16"/>
      <c r="J74" s="17"/>
      <c r="K74" s="15">
        <f t="shared" si="4"/>
        <v>319.14</v>
      </c>
      <c r="L74" s="77">
        <f>E74*(1+C110)+I74+J74*(1+C112)</f>
        <v>687.07650599999988</v>
      </c>
      <c r="M74" s="156">
        <f>E74*(1+C119)+I74+J74</f>
        <v>651.55622399999993</v>
      </c>
    </row>
    <row r="75" spans="1:14" x14ac:dyDescent="0.25">
      <c r="A75" s="367"/>
      <c r="B75" s="5" t="s">
        <v>59</v>
      </c>
      <c r="C75" s="36"/>
      <c r="D75" s="36">
        <v>5</v>
      </c>
      <c r="E75" s="15">
        <f>C75*C108+C109*D75</f>
        <v>195.6</v>
      </c>
      <c r="F75" s="87"/>
      <c r="G75" s="87"/>
      <c r="H75" s="92"/>
      <c r="I75" s="16"/>
      <c r="J75" s="17"/>
      <c r="K75" s="15">
        <f t="shared" si="4"/>
        <v>195.6</v>
      </c>
      <c r="L75" s="77">
        <f>E75*(1+C110)+I75+J75*(1+C112)</f>
        <v>421.10723999999993</v>
      </c>
      <c r="M75" s="156">
        <f>E75*(1+C119)+I75+J75</f>
        <v>399.33695999999998</v>
      </c>
    </row>
    <row r="76" spans="1:14" ht="30" x14ac:dyDescent="0.25">
      <c r="A76" s="136" t="s">
        <v>133</v>
      </c>
      <c r="B76" s="7" t="s">
        <v>134</v>
      </c>
      <c r="C76" s="86"/>
      <c r="D76" s="86"/>
      <c r="E76" s="87"/>
      <c r="F76" s="87"/>
      <c r="G76" s="87"/>
      <c r="H76" s="92"/>
      <c r="I76" s="17"/>
      <c r="J76" s="15">
        <f>IF(T13=0,0,'Coûts installations'!D10)</f>
        <v>0</v>
      </c>
      <c r="K76" s="15">
        <f t="shared" si="4"/>
        <v>0</v>
      </c>
      <c r="L76" s="77">
        <f>E76*(1+C110)+I76+J76*(1+C112)</f>
        <v>0</v>
      </c>
      <c r="M76" s="156">
        <f>E76*(1+C119)+I76+J76</f>
        <v>0</v>
      </c>
    </row>
    <row r="77" spans="1:14" x14ac:dyDescent="0.25">
      <c r="A77" s="128"/>
      <c r="B77" s="5" t="s">
        <v>67</v>
      </c>
      <c r="C77" s="86"/>
      <c r="D77" s="86"/>
      <c r="E77" s="87"/>
      <c r="F77" s="87"/>
      <c r="G77" s="87"/>
      <c r="H77" s="92"/>
      <c r="I77" s="17"/>
      <c r="J77" s="17"/>
      <c r="K77" s="15">
        <f t="shared" si="4"/>
        <v>0</v>
      </c>
      <c r="L77" s="77">
        <f>E77*(1+C110)+I77+J77*(1+C112)</f>
        <v>0</v>
      </c>
      <c r="M77" s="156">
        <f>E77*(1+C119)+I77+J77</f>
        <v>0</v>
      </c>
    </row>
    <row r="78" spans="1:14" ht="30" x14ac:dyDescent="0.25">
      <c r="A78" s="128"/>
      <c r="B78" s="7" t="s">
        <v>135</v>
      </c>
      <c r="C78" s="86"/>
      <c r="D78" s="86"/>
      <c r="E78" s="87"/>
      <c r="F78" s="87"/>
      <c r="G78" s="87"/>
      <c r="H78" s="92"/>
      <c r="I78" s="17"/>
      <c r="J78" s="15">
        <f>IF(T13=0,0,'Coûts installations'!D13)</f>
        <v>740</v>
      </c>
      <c r="K78" s="15">
        <f t="shared" si="4"/>
        <v>740</v>
      </c>
      <c r="L78" s="77">
        <f>E78*(1+C110)+I78+J78*(1+C112)</f>
        <v>765.16</v>
      </c>
      <c r="M78" s="156">
        <f>E78*(1+C119)+I78+J78</f>
        <v>740</v>
      </c>
    </row>
    <row r="79" spans="1:14" x14ac:dyDescent="0.25">
      <c r="A79" s="137"/>
      <c r="B79" s="5" t="s">
        <v>126</v>
      </c>
      <c r="C79" s="86"/>
      <c r="D79" s="86"/>
      <c r="E79" s="87"/>
      <c r="F79" s="87"/>
      <c r="G79" s="87"/>
      <c r="H79" s="92"/>
      <c r="I79" s="17"/>
      <c r="J79" s="17"/>
      <c r="K79" s="15">
        <f t="shared" si="4"/>
        <v>0</v>
      </c>
      <c r="L79" s="77">
        <f>E79*(1+C110)+I79+J79*(1+C112)</f>
        <v>0</v>
      </c>
      <c r="M79" s="156">
        <f>E79*(1+C119)+I79+J79</f>
        <v>0</v>
      </c>
      <c r="N79" s="129" t="s">
        <v>503</v>
      </c>
    </row>
    <row r="80" spans="1:14" x14ac:dyDescent="0.25">
      <c r="A80" s="366" t="s">
        <v>142</v>
      </c>
      <c r="B80" s="5" t="s">
        <v>139</v>
      </c>
      <c r="C80" s="86"/>
      <c r="D80" s="86"/>
      <c r="E80" s="87"/>
      <c r="F80" s="87"/>
      <c r="G80" s="87"/>
      <c r="H80" s="92"/>
      <c r="I80" s="16"/>
      <c r="J80" s="15">
        <f>'Coûts frais variables'!E12</f>
        <v>0</v>
      </c>
      <c r="K80" s="15">
        <f t="shared" si="4"/>
        <v>0</v>
      </c>
      <c r="L80" s="77">
        <f>E80*(1+C110)+I80+J80*(1+C112)</f>
        <v>0</v>
      </c>
      <c r="M80" s="156">
        <f>E80*(1+C119)+I80+J80</f>
        <v>0</v>
      </c>
    </row>
    <row r="81" spans="1:13" x14ac:dyDescent="0.25">
      <c r="A81" s="369"/>
      <c r="B81" s="5" t="s">
        <v>127</v>
      </c>
      <c r="C81" s="86"/>
      <c r="D81" s="86"/>
      <c r="E81" s="87"/>
      <c r="F81" s="87"/>
      <c r="G81" s="87"/>
      <c r="H81" s="92"/>
      <c r="I81" s="16"/>
      <c r="J81" s="15">
        <f>'Coûts frais variables'!E13</f>
        <v>87.5</v>
      </c>
      <c r="K81" s="15">
        <f t="shared" si="4"/>
        <v>87.5</v>
      </c>
      <c r="L81" s="77">
        <f>E81*(1+C110)+I81+J81*(1+C112)</f>
        <v>90.475000000000009</v>
      </c>
      <c r="M81" s="156">
        <f>E81*(1+C119)+I81+J81</f>
        <v>87.5</v>
      </c>
    </row>
    <row r="82" spans="1:13" x14ac:dyDescent="0.25">
      <c r="A82" s="369"/>
      <c r="B82" s="5" t="s">
        <v>136</v>
      </c>
      <c r="C82" s="86"/>
      <c r="D82" s="86"/>
      <c r="E82" s="87"/>
      <c r="F82" s="87"/>
      <c r="G82" s="87"/>
      <c r="H82" s="92"/>
      <c r="I82" s="16"/>
      <c r="J82" s="15">
        <f>'Coûts frais variables'!E14</f>
        <v>0</v>
      </c>
      <c r="K82" s="15">
        <f t="shared" si="4"/>
        <v>0</v>
      </c>
      <c r="L82" s="77">
        <f>E82*(1+C110)+I82+J82*(1+C112)</f>
        <v>0</v>
      </c>
      <c r="M82" s="156">
        <f>E82*(1+C119)+I82+J82</f>
        <v>0</v>
      </c>
    </row>
    <row r="83" spans="1:13" x14ac:dyDescent="0.25">
      <c r="A83" s="369"/>
      <c r="B83" s="6" t="s">
        <v>141</v>
      </c>
      <c r="C83" s="86"/>
      <c r="D83" s="86"/>
      <c r="E83" s="87"/>
      <c r="F83" s="87"/>
      <c r="G83" s="87"/>
      <c r="H83" s="92"/>
      <c r="I83" s="16"/>
      <c r="J83" s="15">
        <f>'Coûts frais variables'!E15</f>
        <v>0</v>
      </c>
      <c r="K83" s="15">
        <f t="shared" si="4"/>
        <v>0</v>
      </c>
      <c r="L83" s="77">
        <f>E83*(1+C110)+I83+J83*(1+C112)</f>
        <v>0</v>
      </c>
      <c r="M83" s="156">
        <f>E83*(1+C119)+I83+J83</f>
        <v>0</v>
      </c>
    </row>
    <row r="84" spans="1:13" x14ac:dyDescent="0.25">
      <c r="A84" s="369"/>
      <c r="B84" s="6" t="s">
        <v>140</v>
      </c>
      <c r="C84" s="86"/>
      <c r="D84" s="86"/>
      <c r="E84" s="87"/>
      <c r="F84" s="87"/>
      <c r="G84" s="87"/>
      <c r="H84" s="92"/>
      <c r="I84" s="16"/>
      <c r="J84" s="130">
        <f>'Coûts frais variables'!E8</f>
        <v>337.5</v>
      </c>
      <c r="K84" s="15">
        <f t="shared" si="4"/>
        <v>337.5</v>
      </c>
      <c r="L84" s="77">
        <f>E84*(1+C110)+I84+J84*(1+C112)</f>
        <v>348.97500000000002</v>
      </c>
      <c r="M84" s="156">
        <f>E84*(1+C119)+I84+J84</f>
        <v>337.5</v>
      </c>
    </row>
    <row r="85" spans="1:13" x14ac:dyDescent="0.25">
      <c r="A85" s="369"/>
      <c r="B85" s="185" t="str">
        <f>'Coûts frais variables'!A16</f>
        <v>Accès au télémanipulateur (500 € par stagiaire)</v>
      </c>
      <c r="C85" s="86"/>
      <c r="D85" s="86"/>
      <c r="E85" s="87"/>
      <c r="F85" s="87"/>
      <c r="G85" s="87"/>
      <c r="H85" s="92"/>
      <c r="I85" s="16"/>
      <c r="J85" s="130">
        <f>'Coûts frais variables'!E16</f>
        <v>3500</v>
      </c>
      <c r="K85" s="15">
        <f t="shared" si="4"/>
        <v>3500</v>
      </c>
      <c r="L85" s="77">
        <f>E85*(1+C110)+I85+J85*(1+C112)</f>
        <v>3619</v>
      </c>
      <c r="M85" s="156">
        <f>E85*(1+C119)+I85+J85</f>
        <v>3500</v>
      </c>
    </row>
    <row r="86" spans="1:13" x14ac:dyDescent="0.25">
      <c r="A86" s="369"/>
      <c r="B86" s="185" t="str">
        <f>'Coûts frais variables'!A17</f>
        <v>Libellé libre frais variable à saisir si besoin (onglet frais var)</v>
      </c>
      <c r="C86" s="86"/>
      <c r="D86" s="86"/>
      <c r="E86" s="87"/>
      <c r="F86" s="87"/>
      <c r="G86" s="87"/>
      <c r="H86" s="92"/>
      <c r="I86" s="16"/>
      <c r="J86" s="130">
        <f>'Coûts frais variables'!E17</f>
        <v>0</v>
      </c>
      <c r="K86" s="15">
        <f t="shared" si="4"/>
        <v>0</v>
      </c>
      <c r="L86" s="77">
        <f>E86*(1+C110)+I86+J86*(1+C112)</f>
        <v>0</v>
      </c>
      <c r="M86" s="156">
        <f>E86*(1+C119)+I86+J86</f>
        <v>0</v>
      </c>
    </row>
    <row r="87" spans="1:13" x14ac:dyDescent="0.25">
      <c r="A87" s="369"/>
      <c r="B87" s="185" t="str">
        <f>'Coûts frais variables'!A18</f>
        <v>Libellé libre frais variable à saisir si besoin (onglet frais var)</v>
      </c>
      <c r="C87" s="86"/>
      <c r="D87" s="86"/>
      <c r="E87" s="87"/>
      <c r="F87" s="87"/>
      <c r="G87" s="87"/>
      <c r="H87" s="92"/>
      <c r="I87" s="16"/>
      <c r="J87" s="130">
        <f>'Coûts frais variables'!E18</f>
        <v>0</v>
      </c>
      <c r="K87" s="15">
        <f t="shared" si="4"/>
        <v>0</v>
      </c>
      <c r="L87" s="77">
        <f>E87*(1+C110)+I87+J87*(1+C112)</f>
        <v>0</v>
      </c>
      <c r="M87" s="156">
        <f>E87*(1+C119)+I87+J87</f>
        <v>0</v>
      </c>
    </row>
    <row r="88" spans="1:13" x14ac:dyDescent="0.25">
      <c r="A88" s="369"/>
      <c r="B88" s="185" t="str">
        <f>'Coûts frais variables'!A19</f>
        <v>Libellé libre frais variable à saisir si besoin (onglet frais var)</v>
      </c>
      <c r="C88" s="86"/>
      <c r="D88" s="86"/>
      <c r="E88" s="87"/>
      <c r="F88" s="87"/>
      <c r="G88" s="87"/>
      <c r="H88" s="92"/>
      <c r="I88" s="16"/>
      <c r="J88" s="130">
        <f>'Coûts frais variables'!E19</f>
        <v>0</v>
      </c>
      <c r="K88" s="15">
        <f t="shared" si="4"/>
        <v>0</v>
      </c>
      <c r="L88" s="77">
        <f>E88*(1+C110)+I88+J88*(1+C112)</f>
        <v>0</v>
      </c>
      <c r="M88" s="156">
        <f>E88*(1+C119)+I88+J88</f>
        <v>0</v>
      </c>
    </row>
    <row r="89" spans="1:13" x14ac:dyDescent="0.25">
      <c r="A89" s="366" t="s">
        <v>164</v>
      </c>
      <c r="B89" s="5" t="s">
        <v>156</v>
      </c>
      <c r="C89" s="14"/>
      <c r="D89" s="14"/>
      <c r="E89" s="15">
        <f>C89*C108+C109*D89</f>
        <v>0</v>
      </c>
      <c r="F89" s="87"/>
      <c r="G89" s="87"/>
      <c r="H89" s="92"/>
      <c r="I89" s="16"/>
      <c r="J89" s="17"/>
      <c r="K89" s="15">
        <f t="shared" si="4"/>
        <v>0</v>
      </c>
      <c r="L89" s="77">
        <f>E89*(1+C110)+I89+J89*(1+C112)</f>
        <v>0</v>
      </c>
      <c r="M89" s="156">
        <f>E89*(1+C119)+I89+J89</f>
        <v>0</v>
      </c>
    </row>
    <row r="90" spans="1:13" x14ac:dyDescent="0.25">
      <c r="A90" s="369"/>
      <c r="B90" s="8" t="s">
        <v>163</v>
      </c>
      <c r="C90" s="14"/>
      <c r="D90" s="14"/>
      <c r="E90" s="15">
        <f>C90*C108+C109*D90</f>
        <v>0</v>
      </c>
      <c r="F90" s="87"/>
      <c r="G90" s="87"/>
      <c r="H90" s="92"/>
      <c r="I90" s="16"/>
      <c r="J90" s="17"/>
      <c r="K90" s="15">
        <f t="shared" si="4"/>
        <v>0</v>
      </c>
      <c r="L90" s="77">
        <f>E90*(1+C110)+I90+J90*(1+C112)</f>
        <v>0</v>
      </c>
      <c r="M90" s="156">
        <f>E90*(1+C119)+I90+J90</f>
        <v>0</v>
      </c>
    </row>
    <row r="91" spans="1:13" x14ac:dyDescent="0.25">
      <c r="A91" s="369"/>
      <c r="B91" s="8" t="s">
        <v>157</v>
      </c>
      <c r="C91" s="14">
        <v>1</v>
      </c>
      <c r="D91" s="14">
        <v>2</v>
      </c>
      <c r="E91" s="15">
        <f>C91*C108+C109*D91</f>
        <v>140.01</v>
      </c>
      <c r="F91" s="87"/>
      <c r="G91" s="87"/>
      <c r="H91" s="92"/>
      <c r="I91" s="16"/>
      <c r="J91" s="17"/>
      <c r="K91" s="15">
        <f t="shared" si="4"/>
        <v>140.01</v>
      </c>
      <c r="L91" s="77">
        <f>E91*(1+C110)+I91+J91*(1+C112)</f>
        <v>301.42752899999994</v>
      </c>
      <c r="M91" s="156">
        <f>E91*(1+C119)+I91+J91</f>
        <v>285.84441599999997</v>
      </c>
    </row>
    <row r="92" spans="1:13" x14ac:dyDescent="0.25">
      <c r="A92" s="369"/>
      <c r="B92" s="8" t="s">
        <v>158</v>
      </c>
      <c r="C92" s="14"/>
      <c r="D92" s="14"/>
      <c r="E92" s="15">
        <f>C92*C108+C109*D92</f>
        <v>0</v>
      </c>
      <c r="F92" s="87"/>
      <c r="G92" s="87"/>
      <c r="H92" s="92"/>
      <c r="I92" s="16"/>
      <c r="J92" s="17"/>
      <c r="K92" s="15">
        <f t="shared" si="4"/>
        <v>0</v>
      </c>
      <c r="L92" s="77">
        <f>E92*(1+C110)+I92+J92*(1+C112)</f>
        <v>0</v>
      </c>
      <c r="M92" s="156">
        <f>E92*(1+C119)+I92+J92</f>
        <v>0</v>
      </c>
    </row>
    <row r="93" spans="1:13" x14ac:dyDescent="0.25">
      <c r="A93" s="369"/>
      <c r="B93" s="5" t="s">
        <v>159</v>
      </c>
      <c r="C93" s="14"/>
      <c r="D93" s="14"/>
      <c r="E93" s="15">
        <f>C93*C108+C109*D93</f>
        <v>0</v>
      </c>
      <c r="F93" s="87"/>
      <c r="G93" s="87"/>
      <c r="H93" s="92"/>
      <c r="I93" s="16"/>
      <c r="J93" s="17"/>
      <c r="K93" s="15">
        <f t="shared" si="4"/>
        <v>0</v>
      </c>
      <c r="L93" s="77">
        <f>E93*(1+C110)+I93+J93*(1+C112)</f>
        <v>0</v>
      </c>
      <c r="M93" s="156">
        <f>E93*(1+C119)+I93+J93</f>
        <v>0</v>
      </c>
    </row>
    <row r="94" spans="1:13" x14ac:dyDescent="0.25">
      <c r="A94" s="369"/>
      <c r="B94" s="7" t="s">
        <v>160</v>
      </c>
      <c r="C94" s="126"/>
      <c r="D94" s="126"/>
      <c r="E94" s="127"/>
      <c r="F94" s="87"/>
      <c r="G94" s="87"/>
      <c r="H94" s="92"/>
      <c r="I94" s="16"/>
      <c r="J94" s="17"/>
      <c r="K94" s="15">
        <f t="shared" si="4"/>
        <v>0</v>
      </c>
      <c r="L94" s="77">
        <f>E94*(1+C110)+I94+J94*(1+C112)</f>
        <v>0</v>
      </c>
      <c r="M94" s="156">
        <f>E94*(1+C119)+I94+J94</f>
        <v>0</v>
      </c>
    </row>
    <row r="95" spans="1:13" x14ac:dyDescent="0.25">
      <c r="A95" s="369"/>
      <c r="B95" s="5" t="s">
        <v>161</v>
      </c>
      <c r="C95" s="14"/>
      <c r="D95" s="14"/>
      <c r="E95" s="15">
        <f>C95*C108+C109*D95</f>
        <v>0</v>
      </c>
      <c r="F95" s="87"/>
      <c r="G95" s="87"/>
      <c r="H95" s="92"/>
      <c r="I95" s="16"/>
      <c r="J95" s="17"/>
      <c r="K95" s="15">
        <f t="shared" si="4"/>
        <v>0</v>
      </c>
      <c r="L95" s="77">
        <f>E95*(1+C110)+I95+J95*(1+C112)</f>
        <v>0</v>
      </c>
      <c r="M95" s="156">
        <f>E95*(1+C119)+I95+J95</f>
        <v>0</v>
      </c>
    </row>
    <row r="96" spans="1:13" ht="15.75" thickBot="1" x14ac:dyDescent="0.3">
      <c r="A96" s="369"/>
      <c r="B96" s="3" t="s">
        <v>162</v>
      </c>
      <c r="C96" s="145"/>
      <c r="D96" s="145"/>
      <c r="E96" s="146"/>
      <c r="F96" s="89"/>
      <c r="G96" s="89"/>
      <c r="H96" s="147"/>
      <c r="I96" s="78"/>
      <c r="J96" s="79"/>
      <c r="K96" s="77">
        <f t="shared" si="4"/>
        <v>0</v>
      </c>
      <c r="L96" s="77">
        <f>E96*(1+C110)+I96+J96*(1+C112)</f>
        <v>0</v>
      </c>
      <c r="M96" s="157">
        <f>E96*(1+C119)+I96+J96</f>
        <v>0</v>
      </c>
    </row>
    <row r="97" spans="1:13" ht="14.45" customHeight="1" thickBot="1" x14ac:dyDescent="0.3">
      <c r="A97" s="358" t="s">
        <v>31</v>
      </c>
      <c r="B97" s="359"/>
      <c r="C97" s="80">
        <f t="shared" ref="C97:E97" si="6">SUM(C56:C96)</f>
        <v>3</v>
      </c>
      <c r="D97" s="80">
        <f t="shared" si="6"/>
        <v>12</v>
      </c>
      <c r="E97" s="81">
        <f t="shared" si="6"/>
        <v>654.75</v>
      </c>
      <c r="F97" s="81">
        <f>SUM(F56:F96)</f>
        <v>21</v>
      </c>
      <c r="G97" s="81">
        <f>SUM(G56:G96)</f>
        <v>0</v>
      </c>
      <c r="H97" s="81">
        <f t="shared" ref="H97:J97" si="7">SUM(H56:H96)</f>
        <v>877.31</v>
      </c>
      <c r="I97" s="81">
        <f t="shared" si="7"/>
        <v>0</v>
      </c>
      <c r="J97" s="81">
        <f t="shared" si="7"/>
        <v>4665</v>
      </c>
      <c r="K97" s="81">
        <f>SUM(K56:K96)</f>
        <v>6197.0599999999995</v>
      </c>
      <c r="L97" s="81">
        <f>SUM(L56:L96)</f>
        <v>8105.9272009999995</v>
      </c>
      <c r="M97" s="158">
        <f>SUM(M56:M96)</f>
        <v>7792.8536960000001</v>
      </c>
    </row>
    <row r="99" spans="1:13" x14ac:dyDescent="0.25">
      <c r="A99" s="4" t="s">
        <v>21</v>
      </c>
    </row>
    <row r="100" spans="1:13" x14ac:dyDescent="0.25">
      <c r="A100" s="4" t="s">
        <v>155</v>
      </c>
    </row>
    <row r="104" spans="1:13" x14ac:dyDescent="0.25">
      <c r="B104" s="9" t="s">
        <v>20</v>
      </c>
    </row>
    <row r="105" spans="1:13" ht="15.75" thickBot="1" x14ac:dyDescent="0.3">
      <c r="B105" s="206" t="s">
        <v>219</v>
      </c>
      <c r="C105" s="206">
        <v>2019</v>
      </c>
    </row>
    <row r="106" spans="1:13" ht="14.45" customHeight="1" x14ac:dyDescent="0.25">
      <c r="G106" s="430" t="str">
        <f>CONCATENATE("Tarifs applicables en cas d'utilisation pluriannuelle de cette fiche de coûts (application d'un coefficient de dérive annuelle de ",C120*100, " % à la phase de réalisation (phase de conception exclue car effectuée en année 1) :")</f>
        <v>Tarifs applicables en cas d'utilisation pluriannuelle de cette fiche de coûts (application d'un coefficient de dérive annuelle de 2 % à la phase de réalisation (phase de conception exclue car effectuée en année 1) :</v>
      </c>
      <c r="H106" s="431"/>
      <c r="I106" s="431"/>
      <c r="J106" s="431"/>
      <c r="K106" s="431"/>
      <c r="L106" s="431"/>
      <c r="M106" s="432"/>
    </row>
    <row r="107" spans="1:13" ht="15.75" thickBot="1" x14ac:dyDescent="0.3">
      <c r="C107" s="34" t="s">
        <v>54</v>
      </c>
      <c r="G107" s="433"/>
      <c r="H107" s="434"/>
      <c r="I107" s="434"/>
      <c r="J107" s="434"/>
      <c r="K107" s="434"/>
      <c r="L107" s="434"/>
      <c r="M107" s="435"/>
    </row>
    <row r="108" spans="1:13" ht="14.45" customHeight="1" x14ac:dyDescent="0.25">
      <c r="B108" s="11" t="s">
        <v>22</v>
      </c>
      <c r="C108" s="2">
        <f>ROUND(60.61*1.0191,2)</f>
        <v>61.77</v>
      </c>
      <c r="G108" s="213"/>
      <c r="H108" s="214"/>
      <c r="I108" s="438" t="s">
        <v>16</v>
      </c>
      <c r="J108" s="438" t="s">
        <v>17</v>
      </c>
      <c r="K108" s="438" t="str">
        <f>CONCATENATE("Prix de vente hors CEA préconisé avec taux de marge de ",C15*100,"%")</f>
        <v>Prix de vente hors CEA préconisé avec taux de marge de 10%</v>
      </c>
      <c r="L108" s="440" t="s">
        <v>206</v>
      </c>
      <c r="M108" s="442" t="s">
        <v>220</v>
      </c>
    </row>
    <row r="109" spans="1:13" x14ac:dyDescent="0.25">
      <c r="B109" s="11" t="s">
        <v>23</v>
      </c>
      <c r="C109" s="2">
        <f>ROUND(38.39*1.0191,2)</f>
        <v>39.119999999999997</v>
      </c>
      <c r="G109" s="211"/>
      <c r="H109" s="190"/>
      <c r="I109" s="439"/>
      <c r="J109" s="439"/>
      <c r="K109" s="439"/>
      <c r="L109" s="441"/>
      <c r="M109" s="443"/>
    </row>
    <row r="110" spans="1:13" x14ac:dyDescent="0.25">
      <c r="B110" s="12" t="s">
        <v>173</v>
      </c>
      <c r="C110" s="13">
        <v>1.1529</v>
      </c>
      <c r="G110" s="436" t="s">
        <v>221</v>
      </c>
      <c r="H110" s="437"/>
      <c r="I110" s="439"/>
      <c r="J110" s="439"/>
      <c r="K110" s="439"/>
      <c r="L110" s="441"/>
      <c r="M110" s="443"/>
    </row>
    <row r="111" spans="1:13" x14ac:dyDescent="0.25">
      <c r="B111" s="12" t="s">
        <v>172</v>
      </c>
      <c r="C111" s="13">
        <v>1.1346000000000001</v>
      </c>
      <c r="G111" s="211"/>
      <c r="H111" s="190"/>
      <c r="I111" s="439"/>
      <c r="J111" s="439"/>
      <c r="K111" s="439"/>
      <c r="L111" s="441"/>
      <c r="M111" s="443"/>
    </row>
    <row r="112" spans="1:13" x14ac:dyDescent="0.25">
      <c r="B112" s="6" t="s">
        <v>28</v>
      </c>
      <c r="C112" s="13">
        <v>3.4000000000000002E-2</v>
      </c>
      <c r="G112" s="211"/>
      <c r="H112" s="190"/>
      <c r="I112" s="439"/>
      <c r="J112" s="439"/>
      <c r="K112" s="439"/>
      <c r="L112" s="441"/>
      <c r="M112" s="443"/>
    </row>
    <row r="113" spans="2:13" x14ac:dyDescent="0.25">
      <c r="B113" s="6" t="s">
        <v>48</v>
      </c>
      <c r="C113" s="35">
        <v>82.460000000000008</v>
      </c>
      <c r="G113" s="444" t="str">
        <f>CONCATENATE("Prix par participant ",C105)</f>
        <v>Prix par participant 2019</v>
      </c>
      <c r="H113" s="410"/>
      <c r="I113" s="207">
        <f>J11</f>
        <v>995</v>
      </c>
      <c r="J113" s="207">
        <f>K11</f>
        <v>1320</v>
      </c>
      <c r="K113" s="207">
        <f>L11</f>
        <v>1452</v>
      </c>
      <c r="L113" s="212">
        <f>J17</f>
        <v>1251</v>
      </c>
      <c r="M113" s="215">
        <f>J18</f>
        <v>1390</v>
      </c>
    </row>
    <row r="114" spans="2:13" x14ac:dyDescent="0.25">
      <c r="B114" s="6" t="s">
        <v>49</v>
      </c>
      <c r="C114" s="35">
        <v>54.53</v>
      </c>
      <c r="G114" s="444" t="str">
        <f>CONCATENATE("Prix par participant ",C105+1)</f>
        <v>Prix par participant 2020</v>
      </c>
      <c r="H114" s="410"/>
      <c r="I114" s="35">
        <f>ROUND((K29-K97+K97*(1+C120))*1.1/C14,0)</f>
        <v>1015</v>
      </c>
      <c r="J114" s="35">
        <f>ROUND((L29-L97+L97*(1+C120))*1.1/C14,0)</f>
        <v>1346</v>
      </c>
      <c r="K114" s="35">
        <f>ROUND(J114*(1+C15),0)</f>
        <v>1481</v>
      </c>
      <c r="L114" s="212" t="s">
        <v>190</v>
      </c>
      <c r="M114" s="215" t="s">
        <v>190</v>
      </c>
    </row>
    <row r="115" spans="2:13" x14ac:dyDescent="0.25">
      <c r="B115" s="6" t="s">
        <v>50</v>
      </c>
      <c r="C115" s="35">
        <v>41.230000000000004</v>
      </c>
      <c r="G115" s="444" t="str">
        <f>CONCATENATE("Prix par participant ",C105+2)</f>
        <v>Prix par participant 2021</v>
      </c>
      <c r="H115" s="410"/>
      <c r="I115" s="35">
        <f>ROUND((K29-K97+K97*(1+C120)*(1+C120))*1.1/C14,0)</f>
        <v>1035</v>
      </c>
      <c r="J115" s="35">
        <f>ROUND((L29-L97+L97*(1+C120)*(1+C120))*1.1/C14,0)</f>
        <v>1372</v>
      </c>
      <c r="K115" s="35">
        <f>ROUND(J115*(1+C15),0)</f>
        <v>1509</v>
      </c>
      <c r="L115" s="212" t="s">
        <v>190</v>
      </c>
      <c r="M115" s="215" t="s">
        <v>190</v>
      </c>
    </row>
    <row r="116" spans="2:13" x14ac:dyDescent="0.25">
      <c r="B116" s="6" t="s">
        <v>51</v>
      </c>
      <c r="C116" s="35">
        <v>61.910000000000004</v>
      </c>
      <c r="G116" s="444" t="str">
        <f>CONCATENATE("Prix par participant ",C105+3)</f>
        <v>Prix par participant 2022</v>
      </c>
      <c r="H116" s="410"/>
      <c r="I116" s="35">
        <f>ROUND((K29-K97+K97*(1+C120)*(1+C120)*(1+C120))*1.1/C14,0)</f>
        <v>1055</v>
      </c>
      <c r="J116" s="35">
        <f>ROUND((L29-L97+L97*(1+C120)*(1+C120)*(1+C120))*1.1/C14,0)</f>
        <v>1398</v>
      </c>
      <c r="K116" s="35">
        <f>ROUND(J116*(1+C15),0)</f>
        <v>1538</v>
      </c>
      <c r="L116" s="212" t="s">
        <v>190</v>
      </c>
      <c r="M116" s="215" t="s">
        <v>190</v>
      </c>
    </row>
    <row r="117" spans="2:13" x14ac:dyDescent="0.25">
      <c r="B117" s="6" t="s">
        <v>52</v>
      </c>
      <c r="C117" s="35">
        <v>40.770000000000003</v>
      </c>
      <c r="G117" s="444" t="str">
        <f>CONCATENATE("Prix par participant ",C105+4)</f>
        <v>Prix par participant 2023</v>
      </c>
      <c r="H117" s="410"/>
      <c r="I117" s="35">
        <f>ROUND((K29-K97+K97*(1+C120)*(1+C120)*(1+C120)*(1+C120))*1.1/C14,0)</f>
        <v>1076</v>
      </c>
      <c r="J117" s="35">
        <f>ROUND((L29-L97+L97*(1+C120)*(1+C120)*(1+C120)*(1+C120))*1.1/C14,0)</f>
        <v>1425</v>
      </c>
      <c r="K117" s="35">
        <f>ROUND(J117*(1+C15),0)</f>
        <v>1568</v>
      </c>
      <c r="L117" s="212" t="s">
        <v>190</v>
      </c>
      <c r="M117" s="215" t="s">
        <v>190</v>
      </c>
    </row>
    <row r="118" spans="2:13" ht="15.75" thickBot="1" x14ac:dyDescent="0.3">
      <c r="B118" s="6" t="s">
        <v>53</v>
      </c>
      <c r="C118" s="35">
        <v>31.71</v>
      </c>
      <c r="G118" s="428" t="str">
        <f>CONCATENATE("Prix par participant ",C105+5)</f>
        <v>Prix par participant 2024</v>
      </c>
      <c r="H118" s="429"/>
      <c r="I118" s="216">
        <f>ROUND((K29-K97+K97*(1+C120)*(1+C120)*(1+C120)*(1+C120)*(1+C120))*1.1/C14,0)</f>
        <v>1097</v>
      </c>
      <c r="J118" s="216">
        <f>ROUND((L29-L97+L97*(1+C120)*(1+C120)*(1+C120)*(1+C120)*(1+C120))*1.1/C14,0)</f>
        <v>1453</v>
      </c>
      <c r="K118" s="216">
        <f>ROUND(J118*(1+C15),0)</f>
        <v>1598</v>
      </c>
      <c r="L118" s="217" t="s">
        <v>190</v>
      </c>
      <c r="M118" s="218" t="s">
        <v>190</v>
      </c>
    </row>
    <row r="119" spans="2:13" ht="30" x14ac:dyDescent="0.25">
      <c r="B119" s="6" t="s">
        <v>188</v>
      </c>
      <c r="C119" s="13">
        <v>1.0416000000000001</v>
      </c>
    </row>
    <row r="120" spans="2:13" x14ac:dyDescent="0.25">
      <c r="B120" s="6" t="s">
        <v>222</v>
      </c>
      <c r="C120" s="13">
        <v>0.02</v>
      </c>
    </row>
  </sheetData>
  <mergeCells count="72">
    <mergeCell ref="G118:H118"/>
    <mergeCell ref="G106:M107"/>
    <mergeCell ref="G110:H110"/>
    <mergeCell ref="K108:K112"/>
    <mergeCell ref="J108:J112"/>
    <mergeCell ref="I108:I112"/>
    <mergeCell ref="L108:L112"/>
    <mergeCell ref="M108:M112"/>
    <mergeCell ref="G113:H113"/>
    <mergeCell ref="G114:H114"/>
    <mergeCell ref="G115:H115"/>
    <mergeCell ref="G116:H116"/>
    <mergeCell ref="G117:H117"/>
    <mergeCell ref="G23:I23"/>
    <mergeCell ref="G19:I19"/>
    <mergeCell ref="G20:M20"/>
    <mergeCell ref="G18:I18"/>
    <mergeCell ref="L16:M16"/>
    <mergeCell ref="L22:M22"/>
    <mergeCell ref="L23:M23"/>
    <mergeCell ref="A1:M1"/>
    <mergeCell ref="A49:B49"/>
    <mergeCell ref="C5:F5"/>
    <mergeCell ref="G14:I14"/>
    <mergeCell ref="G7:I7"/>
    <mergeCell ref="G8:I8"/>
    <mergeCell ref="G10:I10"/>
    <mergeCell ref="A31:M31"/>
    <mergeCell ref="G9:I9"/>
    <mergeCell ref="G11:I11"/>
    <mergeCell ref="G15:I15"/>
    <mergeCell ref="G6:I6"/>
    <mergeCell ref="L5:M5"/>
    <mergeCell ref="G16:I16"/>
    <mergeCell ref="G21:I21"/>
    <mergeCell ref="G17:I17"/>
    <mergeCell ref="L6:M6"/>
    <mergeCell ref="L7:M7"/>
    <mergeCell ref="G24:I24"/>
    <mergeCell ref="A56:A61"/>
    <mergeCell ref="A67:A71"/>
    <mergeCell ref="D12:E12"/>
    <mergeCell ref="C11:E11"/>
    <mergeCell ref="L8:M8"/>
    <mergeCell ref="L9:M9"/>
    <mergeCell ref="L10:M10"/>
    <mergeCell ref="L11:M11"/>
    <mergeCell ref="G12:I12"/>
    <mergeCell ref="L12:M12"/>
    <mergeCell ref="L24:M24"/>
    <mergeCell ref="L15:M15"/>
    <mergeCell ref="L21:M21"/>
    <mergeCell ref="G13:I13"/>
    <mergeCell ref="L13:M13"/>
    <mergeCell ref="G22:I22"/>
    <mergeCell ref="L14:M14"/>
    <mergeCell ref="B17:F18"/>
    <mergeCell ref="A97:B97"/>
    <mergeCell ref="A29:J29"/>
    <mergeCell ref="A51:B51"/>
    <mergeCell ref="A53:B53"/>
    <mergeCell ref="A50:H50"/>
    <mergeCell ref="F52:H52"/>
    <mergeCell ref="A72:A73"/>
    <mergeCell ref="A34:A37"/>
    <mergeCell ref="A38:A48"/>
    <mergeCell ref="A32:A33"/>
    <mergeCell ref="A80:A88"/>
    <mergeCell ref="A74:A75"/>
    <mergeCell ref="A89:A96"/>
    <mergeCell ref="A55:M55"/>
    <mergeCell ref="A62:A66"/>
  </mergeCells>
  <dataValidations count="2">
    <dataValidation type="list" allowBlank="1" showInputMessage="1" showErrorMessage="1" sqref="C13" xr:uid="{00000000-0002-0000-0200-000000000000}">
      <formula1>"Choisir Unité,UEC,UECG,UECO,UEM,UES,SFRES,DIR,DDP,DPF,DSTG"</formula1>
    </dataValidation>
    <dataValidation type="list" allowBlank="1" showInputMessage="1" showErrorMessage="1" sqref="C8" xr:uid="{00000000-0002-0000-0200-000001000000}">
      <formula1>"Choisir Type,FD,Certification,FC INTER,FC INTRA,Autre prestation"</formula1>
    </dataValidation>
  </dataValidations>
  <pageMargins left="0.17" right="0.17" top="0.4" bottom="0.25" header="0.3" footer="0.17"/>
  <pageSetup paperSize="8" scale="69" orientation="portrait" r:id="rId1"/>
  <ignoredErrors>
    <ignoredError sqref="E57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2000000}">
          <x14:formula1>
            <xm:f>'Table OS Formations'!$C$2:$C$87</xm:f>
          </x14:formula1>
          <xm:sqref>C11:E11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59999389629810485"/>
    <pageSetUpPr fitToPage="1"/>
  </sheetPr>
  <dimension ref="A1:I74"/>
  <sheetViews>
    <sheetView workbookViewId="0">
      <selection activeCell="J14" sqref="J14"/>
    </sheetView>
  </sheetViews>
  <sheetFormatPr baseColWidth="10" defaultRowHeight="15" x14ac:dyDescent="0.25"/>
  <cols>
    <col min="1" max="1" width="32.5703125" bestFit="1" customWidth="1"/>
    <col min="3" max="3" width="12.28515625" customWidth="1"/>
    <col min="4" max="4" width="12.140625" customWidth="1"/>
    <col min="5" max="5" width="13.42578125" customWidth="1"/>
  </cols>
  <sheetData>
    <row r="1" spans="1:9" ht="18.75" x14ac:dyDescent="0.3">
      <c r="A1" s="39" t="s">
        <v>213</v>
      </c>
    </row>
    <row r="3" spans="1:9" x14ac:dyDescent="0.25">
      <c r="A3" s="37" t="s">
        <v>214</v>
      </c>
      <c r="B3" s="42" t="s">
        <v>215</v>
      </c>
      <c r="C3" s="38" t="s">
        <v>121</v>
      </c>
      <c r="D3" s="42" t="s">
        <v>123</v>
      </c>
    </row>
    <row r="4" spans="1:9" x14ac:dyDescent="0.25">
      <c r="A4" s="6" t="s">
        <v>62</v>
      </c>
      <c r="B4" s="35">
        <v>1000</v>
      </c>
      <c r="C4" s="43"/>
      <c r="D4" s="41">
        <f>B4*C4</f>
        <v>0</v>
      </c>
    </row>
    <row r="5" spans="1:9" x14ac:dyDescent="0.25">
      <c r="A5" s="6" t="s">
        <v>63</v>
      </c>
      <c r="B5" s="35">
        <v>1000</v>
      </c>
      <c r="C5" s="43"/>
      <c r="D5" s="41">
        <f t="shared" ref="D5:D8" si="0">B5*C5</f>
        <v>0</v>
      </c>
    </row>
    <row r="6" spans="1:9" x14ac:dyDescent="0.25">
      <c r="A6" s="6" t="s">
        <v>64</v>
      </c>
      <c r="B6" s="35">
        <v>1000</v>
      </c>
      <c r="C6" s="43"/>
      <c r="D6" s="41">
        <f t="shared" si="0"/>
        <v>0</v>
      </c>
    </row>
    <row r="7" spans="1:9" x14ac:dyDescent="0.25">
      <c r="A7" s="6" t="s">
        <v>66</v>
      </c>
      <c r="B7" s="35">
        <v>5000</v>
      </c>
      <c r="C7" s="43"/>
      <c r="D7" s="41">
        <f t="shared" si="0"/>
        <v>0</v>
      </c>
    </row>
    <row r="8" spans="1:9" x14ac:dyDescent="0.25">
      <c r="A8" s="6" t="s">
        <v>65</v>
      </c>
      <c r="B8" s="35">
        <v>1000</v>
      </c>
      <c r="C8" s="43"/>
      <c r="D8" s="41">
        <f t="shared" si="0"/>
        <v>0</v>
      </c>
    </row>
    <row r="9" spans="1:9" x14ac:dyDescent="0.25">
      <c r="A9" s="10" t="s">
        <v>216</v>
      </c>
      <c r="B9" s="40"/>
      <c r="C9" s="43"/>
      <c r="D9" s="41">
        <f>B9*C9</f>
        <v>0</v>
      </c>
    </row>
    <row r="10" spans="1:9" ht="15.75" x14ac:dyDescent="0.25">
      <c r="A10" s="445" t="s">
        <v>124</v>
      </c>
      <c r="B10" s="445"/>
      <c r="C10" s="445"/>
      <c r="D10" s="76">
        <f>SUM(D4:D9)</f>
        <v>0</v>
      </c>
    </row>
    <row r="13" spans="1:9" ht="15.75" x14ac:dyDescent="0.25">
      <c r="A13" s="445" t="s">
        <v>125</v>
      </c>
      <c r="B13" s="445"/>
      <c r="C13" s="445"/>
      <c r="D13" s="76">
        <f>B18*C18+B19*C19+B20*C20+B21*C21+B22*C22+B23*C23+D18*E18+D19*E19+D20*E20+D21*E21+D22*E22+D23*E23+F18*G18+F19*G19+F20*G20+F21*G21+F22*G22+F23*G23+H18*I18+H19*I19+H20*I20+H21*I21+H22*I22+H23*I23+B29*C29+B30*C30+B31*C31+B32*C32+D29*E29+D30*E30+D31*E31+D32*E32+F29*G29+F30*G30+F31*G31+F32*G32+H29*I29+H30*I30+H31*I31+H32*I32+B37*C37+B38*C38+B39*C39+B40*C40+D37*E37+D38*E38+D39*E39+D40*E40+F37*G37+F38*G38+F39*G39+F40*G40+H37*I37+H38*I38+H39*I39+H40*I40+B45*C45+B46*C46+B47*C47+B48*C48+B49*C49+B50*C50+B51*C51+B52*C52+B54*C54+B55*C55+B56*C56+B57*C57+D45*E45+D46*E46+D47*E47+D48*E48+D49*E49+D50*E50+D51*E51+D52*E52+D54*E54+D55*E55+D56*E56+D57*E57+F45*G45+F46*G46+F47*G47+F48*G48+F49*G49+F50*G50+F51*G51+F52*G52+F53*G53+F54*G54+F55*G55+F56*G56+F57*G57+H45*I45+H46*I46+H47*I47+H48*I48+H49*I49+H50*I50+H51*I51+H52*I52+H53*I53+H54*I54+H55*I55+H56*I56+H57*I57+C61*D61+C62*D62+C63*D63+C64*D64+C65*D65+C66*D66+C67*D67+C68*D68+C69*D69+C70*D70+C71*D71+C72*D72+C73*D73+C74*D74+E61*F61+E62*F62+E63*F63+E64*F64+E65*F65+E66*F66+E67*F67+E68*F68+E69*F69+E70*F70+E71*F71+E72*F72+E73*F73+E74*F74</f>
        <v>740</v>
      </c>
    </row>
    <row r="14" spans="1:9" ht="15.75" thickBot="1" x14ac:dyDescent="0.3"/>
    <row r="15" spans="1:9" ht="15.6" customHeight="1" thickBot="1" x14ac:dyDescent="0.3">
      <c r="B15" s="456" t="s">
        <v>68</v>
      </c>
      <c r="C15" s="457"/>
      <c r="D15" s="457"/>
      <c r="E15" s="458"/>
      <c r="F15" s="456" t="s">
        <v>106</v>
      </c>
      <c r="G15" s="457"/>
      <c r="H15" s="457"/>
      <c r="I15" s="458"/>
    </row>
    <row r="16" spans="1:9" ht="28.9" customHeight="1" x14ac:dyDescent="0.25">
      <c r="A16" s="452" t="s">
        <v>120</v>
      </c>
      <c r="B16" s="446" t="s">
        <v>105</v>
      </c>
      <c r="C16" s="447"/>
      <c r="D16" s="448" t="s">
        <v>107</v>
      </c>
      <c r="E16" s="449"/>
      <c r="F16" s="446" t="s">
        <v>105</v>
      </c>
      <c r="G16" s="447"/>
      <c r="H16" s="448" t="s">
        <v>107</v>
      </c>
      <c r="I16" s="449"/>
    </row>
    <row r="17" spans="1:9" x14ac:dyDescent="0.25">
      <c r="A17" s="453"/>
      <c r="B17" s="45" t="s">
        <v>217</v>
      </c>
      <c r="C17" s="101" t="s">
        <v>121</v>
      </c>
      <c r="D17" s="45" t="s">
        <v>217</v>
      </c>
      <c r="E17" s="46" t="s">
        <v>121</v>
      </c>
      <c r="F17" s="45" t="s">
        <v>217</v>
      </c>
      <c r="G17" s="187" t="s">
        <v>121</v>
      </c>
      <c r="H17" s="45" t="s">
        <v>217</v>
      </c>
      <c r="I17" s="46" t="s">
        <v>121</v>
      </c>
    </row>
    <row r="18" spans="1:9" x14ac:dyDescent="0.25">
      <c r="A18" s="57" t="s">
        <v>115</v>
      </c>
      <c r="B18" s="47">
        <v>370</v>
      </c>
      <c r="C18" s="102">
        <v>2</v>
      </c>
      <c r="D18" s="47">
        <f t="shared" ref="D18:D23" si="1">ROUND(B18*0.8,0)</f>
        <v>296</v>
      </c>
      <c r="E18" s="72"/>
      <c r="F18" s="47">
        <f t="shared" ref="F18:F23" si="2">ROUND(B18*0.65,0)</f>
        <v>241</v>
      </c>
      <c r="G18" s="102"/>
      <c r="H18" s="47">
        <f>ROUND(F18*0.8,0)</f>
        <v>193</v>
      </c>
      <c r="I18" s="72"/>
    </row>
    <row r="19" spans="1:9" x14ac:dyDescent="0.25">
      <c r="A19" s="57" t="s">
        <v>116</v>
      </c>
      <c r="B19" s="47">
        <v>700</v>
      </c>
      <c r="C19" s="102"/>
      <c r="D19" s="47">
        <f t="shared" si="1"/>
        <v>560</v>
      </c>
      <c r="E19" s="72"/>
      <c r="F19" s="47">
        <f t="shared" si="2"/>
        <v>455</v>
      </c>
      <c r="G19" s="102"/>
      <c r="H19" s="47">
        <f t="shared" ref="H19:H23" si="3">ROUND(F19*0.8,0)</f>
        <v>364</v>
      </c>
      <c r="I19" s="72"/>
    </row>
    <row r="20" spans="1:9" x14ac:dyDescent="0.25">
      <c r="A20" s="57" t="s">
        <v>117</v>
      </c>
      <c r="B20" s="47">
        <v>1050</v>
      </c>
      <c r="C20" s="102"/>
      <c r="D20" s="47">
        <f t="shared" si="1"/>
        <v>840</v>
      </c>
      <c r="E20" s="72"/>
      <c r="F20" s="47">
        <f t="shared" si="2"/>
        <v>683</v>
      </c>
      <c r="G20" s="102"/>
      <c r="H20" s="47">
        <f t="shared" si="3"/>
        <v>546</v>
      </c>
      <c r="I20" s="72"/>
    </row>
    <row r="21" spans="1:9" x14ac:dyDescent="0.25">
      <c r="A21" s="57" t="s">
        <v>118</v>
      </c>
      <c r="B21" s="47">
        <v>1300</v>
      </c>
      <c r="C21" s="102"/>
      <c r="D21" s="47">
        <f t="shared" si="1"/>
        <v>1040</v>
      </c>
      <c r="E21" s="72"/>
      <c r="F21" s="47">
        <f t="shared" si="2"/>
        <v>845</v>
      </c>
      <c r="G21" s="102"/>
      <c r="H21" s="47">
        <f t="shared" si="3"/>
        <v>676</v>
      </c>
      <c r="I21" s="72"/>
    </row>
    <row r="22" spans="1:9" x14ac:dyDescent="0.25">
      <c r="A22" s="100" t="s">
        <v>119</v>
      </c>
      <c r="B22" s="98">
        <v>800</v>
      </c>
      <c r="C22" s="103"/>
      <c r="D22" s="98">
        <f t="shared" si="1"/>
        <v>640</v>
      </c>
      <c r="E22" s="99"/>
      <c r="F22" s="98">
        <f t="shared" si="2"/>
        <v>520</v>
      </c>
      <c r="G22" s="103"/>
      <c r="H22" s="98">
        <f t="shared" ref="H22" si="4">ROUND(F22*0.8,0)</f>
        <v>416</v>
      </c>
      <c r="I22" s="99"/>
    </row>
    <row r="23" spans="1:9" ht="15.75" thickBot="1" x14ac:dyDescent="0.3">
      <c r="A23" s="58" t="s">
        <v>216</v>
      </c>
      <c r="B23" s="49"/>
      <c r="C23" s="104"/>
      <c r="D23" s="49">
        <f t="shared" si="1"/>
        <v>0</v>
      </c>
      <c r="E23" s="73"/>
      <c r="F23" s="49">
        <f t="shared" si="2"/>
        <v>0</v>
      </c>
      <c r="G23" s="104"/>
      <c r="H23" s="49">
        <f t="shared" si="3"/>
        <v>0</v>
      </c>
      <c r="I23" s="73"/>
    </row>
    <row r="25" spans="1:9" ht="15.75" thickBot="1" x14ac:dyDescent="0.3"/>
    <row r="26" spans="1:9" ht="15.75" thickBot="1" x14ac:dyDescent="0.3">
      <c r="B26" s="456" t="s">
        <v>68</v>
      </c>
      <c r="C26" s="457"/>
      <c r="D26" s="457"/>
      <c r="E26" s="458"/>
      <c r="F26" s="457" t="s">
        <v>106</v>
      </c>
      <c r="G26" s="457"/>
      <c r="H26" s="457"/>
      <c r="I26" s="458"/>
    </row>
    <row r="27" spans="1:9" x14ac:dyDescent="0.25">
      <c r="A27" s="454" t="s">
        <v>112</v>
      </c>
      <c r="B27" s="446" t="s">
        <v>105</v>
      </c>
      <c r="C27" s="450"/>
      <c r="D27" s="451" t="s">
        <v>107</v>
      </c>
      <c r="E27" s="449"/>
      <c r="F27" s="446" t="s">
        <v>105</v>
      </c>
      <c r="G27" s="450"/>
      <c r="H27" s="451" t="s">
        <v>107</v>
      </c>
      <c r="I27" s="449"/>
    </row>
    <row r="28" spans="1:9" x14ac:dyDescent="0.25">
      <c r="A28" s="455"/>
      <c r="B28" s="45" t="s">
        <v>217</v>
      </c>
      <c r="C28" s="46" t="s">
        <v>121</v>
      </c>
      <c r="D28" s="44" t="s">
        <v>217</v>
      </c>
      <c r="E28" s="46" t="s">
        <v>121</v>
      </c>
      <c r="F28" s="45" t="s">
        <v>217</v>
      </c>
      <c r="G28" s="46" t="s">
        <v>121</v>
      </c>
      <c r="H28" s="44" t="s">
        <v>217</v>
      </c>
      <c r="I28" s="46" t="s">
        <v>121</v>
      </c>
    </row>
    <row r="29" spans="1:9" x14ac:dyDescent="0.25">
      <c r="A29" s="53" t="s">
        <v>114</v>
      </c>
      <c r="B29" s="47">
        <v>1600</v>
      </c>
      <c r="C29" s="72"/>
      <c r="D29" s="51">
        <f>ROUND(B29*0.8,0)</f>
        <v>1280</v>
      </c>
      <c r="E29" s="72"/>
      <c r="F29" s="47">
        <v>900</v>
      </c>
      <c r="G29" s="72"/>
      <c r="H29" s="51">
        <f>ROUND(F29*0.8,0)</f>
        <v>720</v>
      </c>
      <c r="I29" s="72"/>
    </row>
    <row r="30" spans="1:9" x14ac:dyDescent="0.25">
      <c r="A30" s="53" t="s">
        <v>110</v>
      </c>
      <c r="B30" s="47">
        <v>550</v>
      </c>
      <c r="C30" s="72"/>
      <c r="D30" s="51">
        <f>ROUND(B30*0.8,0)</f>
        <v>440</v>
      </c>
      <c r="E30" s="72"/>
      <c r="F30" s="47">
        <v>350</v>
      </c>
      <c r="G30" s="72"/>
      <c r="H30" s="51">
        <f t="shared" ref="H30:H32" si="5">ROUND(F30*0.8,0)</f>
        <v>280</v>
      </c>
      <c r="I30" s="72"/>
    </row>
    <row r="31" spans="1:9" x14ac:dyDescent="0.25">
      <c r="A31" s="53" t="s">
        <v>111</v>
      </c>
      <c r="B31" s="47">
        <v>420</v>
      </c>
      <c r="C31" s="72"/>
      <c r="D31" s="51">
        <f>ROUND(B31*0.8,0)</f>
        <v>336</v>
      </c>
      <c r="E31" s="72"/>
      <c r="F31" s="47">
        <v>270</v>
      </c>
      <c r="G31" s="72"/>
      <c r="H31" s="51">
        <f t="shared" si="5"/>
        <v>216</v>
      </c>
      <c r="I31" s="72"/>
    </row>
    <row r="32" spans="1:9" ht="15.75" thickBot="1" x14ac:dyDescent="0.3">
      <c r="A32" s="54" t="s">
        <v>113</v>
      </c>
      <c r="B32" s="49">
        <v>440</v>
      </c>
      <c r="C32" s="73"/>
      <c r="D32" s="52">
        <f>ROUND(B32*0.8,0)</f>
        <v>352</v>
      </c>
      <c r="E32" s="73"/>
      <c r="F32" s="49">
        <v>290</v>
      </c>
      <c r="G32" s="73"/>
      <c r="H32" s="52">
        <f t="shared" si="5"/>
        <v>232</v>
      </c>
      <c r="I32" s="73"/>
    </row>
    <row r="33" spans="1:9" ht="15.75" thickBot="1" x14ac:dyDescent="0.3"/>
    <row r="34" spans="1:9" ht="15.75" thickBot="1" x14ac:dyDescent="0.3">
      <c r="B34" s="456" t="s">
        <v>68</v>
      </c>
      <c r="C34" s="457"/>
      <c r="D34" s="457"/>
      <c r="E34" s="458"/>
      <c r="F34" s="457" t="s">
        <v>106</v>
      </c>
      <c r="G34" s="457"/>
      <c r="H34" s="457"/>
      <c r="I34" s="458"/>
    </row>
    <row r="35" spans="1:9" x14ac:dyDescent="0.25">
      <c r="A35" s="452" t="s">
        <v>104</v>
      </c>
      <c r="B35" s="446" t="s">
        <v>105</v>
      </c>
      <c r="C35" s="450"/>
      <c r="D35" s="451" t="s">
        <v>107</v>
      </c>
      <c r="E35" s="449"/>
      <c r="F35" s="446" t="s">
        <v>105</v>
      </c>
      <c r="G35" s="450"/>
      <c r="H35" s="451" t="s">
        <v>107</v>
      </c>
      <c r="I35" s="449"/>
    </row>
    <row r="36" spans="1:9" x14ac:dyDescent="0.25">
      <c r="A36" s="453"/>
      <c r="B36" s="45" t="s">
        <v>217</v>
      </c>
      <c r="C36" s="46" t="s">
        <v>121</v>
      </c>
      <c r="D36" s="44" t="s">
        <v>217</v>
      </c>
      <c r="E36" s="46" t="s">
        <v>121</v>
      </c>
      <c r="F36" s="45" t="s">
        <v>217</v>
      </c>
      <c r="G36" s="46" t="s">
        <v>121</v>
      </c>
      <c r="H36" s="44" t="s">
        <v>217</v>
      </c>
      <c r="I36" s="46" t="s">
        <v>121</v>
      </c>
    </row>
    <row r="37" spans="1:9" x14ac:dyDescent="0.25">
      <c r="A37" s="57" t="s">
        <v>69</v>
      </c>
      <c r="B37" s="55">
        <v>500</v>
      </c>
      <c r="C37" s="72"/>
      <c r="D37" s="51">
        <f>ROUND(B37*0.8,0)</f>
        <v>400</v>
      </c>
      <c r="E37" s="72"/>
      <c r="F37" s="55">
        <v>300</v>
      </c>
      <c r="G37" s="72"/>
      <c r="H37" s="51">
        <f>ROUND(F37*0.8,0)</f>
        <v>240</v>
      </c>
      <c r="I37" s="72"/>
    </row>
    <row r="38" spans="1:9" x14ac:dyDescent="0.25">
      <c r="A38" s="57" t="s">
        <v>70</v>
      </c>
      <c r="B38" s="55">
        <v>400</v>
      </c>
      <c r="C38" s="72"/>
      <c r="D38" s="51">
        <f>ROUND(B38*0.8,0)</f>
        <v>320</v>
      </c>
      <c r="E38" s="72"/>
      <c r="F38" s="55">
        <v>250</v>
      </c>
      <c r="G38" s="72"/>
      <c r="H38" s="51">
        <f t="shared" ref="H38:H40" si="6">ROUND(F38*0.8,0)</f>
        <v>200</v>
      </c>
      <c r="I38" s="72"/>
    </row>
    <row r="39" spans="1:9" x14ac:dyDescent="0.25">
      <c r="A39" s="57" t="s">
        <v>71</v>
      </c>
      <c r="B39" s="55">
        <v>400</v>
      </c>
      <c r="C39" s="72"/>
      <c r="D39" s="51">
        <f>ROUND(B39*0.8,0)</f>
        <v>320</v>
      </c>
      <c r="E39" s="72"/>
      <c r="F39" s="55">
        <v>250</v>
      </c>
      <c r="G39" s="72"/>
      <c r="H39" s="51">
        <f t="shared" si="6"/>
        <v>200</v>
      </c>
      <c r="I39" s="72"/>
    </row>
    <row r="40" spans="1:9" ht="15.75" thickBot="1" x14ac:dyDescent="0.3">
      <c r="A40" s="58" t="s">
        <v>72</v>
      </c>
      <c r="B40" s="56">
        <v>620</v>
      </c>
      <c r="C40" s="73"/>
      <c r="D40" s="52">
        <f>ROUND(B40*0.8,0)</f>
        <v>496</v>
      </c>
      <c r="E40" s="73"/>
      <c r="F40" s="56">
        <v>370</v>
      </c>
      <c r="G40" s="73"/>
      <c r="H40" s="52">
        <f t="shared" si="6"/>
        <v>296</v>
      </c>
      <c r="I40" s="73"/>
    </row>
    <row r="41" spans="1:9" ht="15.75" thickBot="1" x14ac:dyDescent="0.3"/>
    <row r="42" spans="1:9" ht="15.75" thickBot="1" x14ac:dyDescent="0.3">
      <c r="B42" s="461" t="s">
        <v>68</v>
      </c>
      <c r="C42" s="462"/>
      <c r="D42" s="462"/>
      <c r="E42" s="463"/>
      <c r="F42" s="464" t="s">
        <v>106</v>
      </c>
      <c r="G42" s="462"/>
      <c r="H42" s="462"/>
      <c r="I42" s="465"/>
    </row>
    <row r="43" spans="1:9" x14ac:dyDescent="0.25">
      <c r="A43" s="452" t="s">
        <v>108</v>
      </c>
      <c r="B43" s="446" t="s">
        <v>105</v>
      </c>
      <c r="C43" s="450"/>
      <c r="D43" s="451" t="s">
        <v>107</v>
      </c>
      <c r="E43" s="449"/>
      <c r="F43" s="446" t="s">
        <v>105</v>
      </c>
      <c r="G43" s="450"/>
      <c r="H43" s="451" t="s">
        <v>107</v>
      </c>
      <c r="I43" s="449"/>
    </row>
    <row r="44" spans="1:9" x14ac:dyDescent="0.25">
      <c r="A44" s="453"/>
      <c r="B44" s="45" t="s">
        <v>217</v>
      </c>
      <c r="C44" s="46" t="s">
        <v>121</v>
      </c>
      <c r="D44" s="44" t="s">
        <v>217</v>
      </c>
      <c r="E44" s="46" t="s">
        <v>121</v>
      </c>
      <c r="F44" s="45" t="s">
        <v>217</v>
      </c>
      <c r="G44" s="46" t="s">
        <v>121</v>
      </c>
      <c r="H44" s="44" t="s">
        <v>217</v>
      </c>
      <c r="I44" s="46" t="s">
        <v>121</v>
      </c>
    </row>
    <row r="45" spans="1:9" x14ac:dyDescent="0.25">
      <c r="A45" s="57" t="s">
        <v>74</v>
      </c>
      <c r="B45" s="55">
        <v>370</v>
      </c>
      <c r="C45" s="72"/>
      <c r="D45" s="51">
        <f>ROUND(B45*0.8,0)</f>
        <v>296</v>
      </c>
      <c r="E45" s="72"/>
      <c r="F45" s="55">
        <v>222</v>
      </c>
      <c r="G45" s="72"/>
      <c r="H45" s="51">
        <f>ROUND(F45*0.8,0)</f>
        <v>178</v>
      </c>
      <c r="I45" s="72"/>
    </row>
    <row r="46" spans="1:9" x14ac:dyDescent="0.25">
      <c r="A46" s="57" t="s">
        <v>75</v>
      </c>
      <c r="B46" s="55">
        <v>700</v>
      </c>
      <c r="C46" s="72"/>
      <c r="D46" s="51">
        <f>ROUND(B46*0.8,0)</f>
        <v>560</v>
      </c>
      <c r="E46" s="72"/>
      <c r="F46" s="55">
        <v>420</v>
      </c>
      <c r="G46" s="72"/>
      <c r="H46" s="51">
        <f t="shared" ref="H46:H57" si="7">ROUND(F46*0.8,0)</f>
        <v>336</v>
      </c>
      <c r="I46" s="72"/>
    </row>
    <row r="47" spans="1:9" x14ac:dyDescent="0.25">
      <c r="A47" s="57" t="s">
        <v>76</v>
      </c>
      <c r="B47" s="55">
        <v>1050</v>
      </c>
      <c r="C47" s="72"/>
      <c r="D47" s="51">
        <f>ROUND(B47*0.8,0)</f>
        <v>840</v>
      </c>
      <c r="E47" s="72"/>
      <c r="F47" s="55">
        <v>630</v>
      </c>
      <c r="G47" s="72"/>
      <c r="H47" s="51">
        <f t="shared" si="7"/>
        <v>504</v>
      </c>
      <c r="I47" s="72"/>
    </row>
    <row r="48" spans="1:9" x14ac:dyDescent="0.25">
      <c r="A48" s="57" t="s">
        <v>77</v>
      </c>
      <c r="B48" s="55">
        <v>1300</v>
      </c>
      <c r="C48" s="72"/>
      <c r="D48" s="51">
        <f>ROUND(B48*0.8,0)</f>
        <v>1040</v>
      </c>
      <c r="E48" s="72"/>
      <c r="F48" s="55">
        <v>780</v>
      </c>
      <c r="G48" s="72"/>
      <c r="H48" s="51">
        <f t="shared" si="7"/>
        <v>624</v>
      </c>
      <c r="I48" s="72"/>
    </row>
    <row r="49" spans="1:9" x14ac:dyDescent="0.25">
      <c r="A49" s="57" t="s">
        <v>78</v>
      </c>
      <c r="B49" s="55">
        <v>585</v>
      </c>
      <c r="C49" s="72"/>
      <c r="D49" s="51">
        <f t="shared" ref="D49:D57" si="8">ROUND(B49*0.8,0)</f>
        <v>468</v>
      </c>
      <c r="E49" s="72"/>
      <c r="F49" s="55">
        <v>351</v>
      </c>
      <c r="G49" s="72"/>
      <c r="H49" s="51">
        <f t="shared" si="7"/>
        <v>281</v>
      </c>
      <c r="I49" s="72"/>
    </row>
    <row r="50" spans="1:9" x14ac:dyDescent="0.25">
      <c r="A50" s="57" t="s">
        <v>79</v>
      </c>
      <c r="B50" s="55">
        <v>780</v>
      </c>
      <c r="C50" s="72"/>
      <c r="D50" s="51">
        <f t="shared" si="8"/>
        <v>624</v>
      </c>
      <c r="E50" s="72"/>
      <c r="F50" s="55">
        <v>468</v>
      </c>
      <c r="G50" s="72"/>
      <c r="H50" s="51">
        <f t="shared" si="7"/>
        <v>374</v>
      </c>
      <c r="I50" s="72"/>
    </row>
    <row r="51" spans="1:9" x14ac:dyDescent="0.25">
      <c r="A51" s="57" t="s">
        <v>80</v>
      </c>
      <c r="B51" s="55">
        <v>1170</v>
      </c>
      <c r="C51" s="72"/>
      <c r="D51" s="51">
        <f t="shared" si="8"/>
        <v>936</v>
      </c>
      <c r="E51" s="72"/>
      <c r="F51" s="55">
        <v>702</v>
      </c>
      <c r="G51" s="72"/>
      <c r="H51" s="51">
        <f t="shared" si="7"/>
        <v>562</v>
      </c>
      <c r="I51" s="72"/>
    </row>
    <row r="52" spans="1:9" x14ac:dyDescent="0.25">
      <c r="A52" s="57" t="s">
        <v>81</v>
      </c>
      <c r="B52" s="55">
        <v>350</v>
      </c>
      <c r="C52" s="72"/>
      <c r="D52" s="51">
        <f t="shared" si="8"/>
        <v>280</v>
      </c>
      <c r="E52" s="72"/>
      <c r="F52" s="55">
        <v>210</v>
      </c>
      <c r="G52" s="72"/>
      <c r="H52" s="51">
        <f t="shared" si="7"/>
        <v>168</v>
      </c>
      <c r="I52" s="72"/>
    </row>
    <row r="53" spans="1:9" x14ac:dyDescent="0.25">
      <c r="A53" s="57" t="s">
        <v>82</v>
      </c>
      <c r="B53" s="59"/>
      <c r="C53" s="60"/>
      <c r="D53" s="61"/>
      <c r="E53" s="60"/>
      <c r="F53" s="55">
        <v>625</v>
      </c>
      <c r="G53" s="72"/>
      <c r="H53" s="51">
        <f t="shared" si="7"/>
        <v>500</v>
      </c>
      <c r="I53" s="72"/>
    </row>
    <row r="54" spans="1:9" x14ac:dyDescent="0.25">
      <c r="A54" s="57" t="s">
        <v>83</v>
      </c>
      <c r="B54" s="55">
        <v>1860</v>
      </c>
      <c r="C54" s="72"/>
      <c r="D54" s="51">
        <f t="shared" si="8"/>
        <v>1488</v>
      </c>
      <c r="E54" s="72"/>
      <c r="F54" s="55">
        <v>1116</v>
      </c>
      <c r="G54" s="72"/>
      <c r="H54" s="51">
        <f t="shared" si="7"/>
        <v>893</v>
      </c>
      <c r="I54" s="72"/>
    </row>
    <row r="55" spans="1:9" x14ac:dyDescent="0.25">
      <c r="A55" s="57" t="s">
        <v>84</v>
      </c>
      <c r="B55" s="55">
        <v>2050</v>
      </c>
      <c r="C55" s="72"/>
      <c r="D55" s="51">
        <f t="shared" si="8"/>
        <v>1640</v>
      </c>
      <c r="E55" s="72"/>
      <c r="F55" s="55">
        <v>1230</v>
      </c>
      <c r="G55" s="72"/>
      <c r="H55" s="51">
        <f t="shared" si="7"/>
        <v>984</v>
      </c>
      <c r="I55" s="72"/>
    </row>
    <row r="56" spans="1:9" x14ac:dyDescent="0.25">
      <c r="A56" s="57" t="s">
        <v>85</v>
      </c>
      <c r="B56" s="55">
        <v>2250</v>
      </c>
      <c r="C56" s="72"/>
      <c r="D56" s="51">
        <f t="shared" si="8"/>
        <v>1800</v>
      </c>
      <c r="E56" s="72"/>
      <c r="F56" s="55">
        <v>1350</v>
      </c>
      <c r="G56" s="72"/>
      <c r="H56" s="51">
        <f t="shared" si="7"/>
        <v>1080</v>
      </c>
      <c r="I56" s="72"/>
    </row>
    <row r="57" spans="1:9" ht="15.75" thickBot="1" x14ac:dyDescent="0.3">
      <c r="A57" s="58" t="s">
        <v>86</v>
      </c>
      <c r="B57" s="56">
        <v>2760</v>
      </c>
      <c r="C57" s="73"/>
      <c r="D57" s="52">
        <f t="shared" si="8"/>
        <v>2208</v>
      </c>
      <c r="E57" s="73"/>
      <c r="F57" s="56">
        <v>1616</v>
      </c>
      <c r="G57" s="73"/>
      <c r="H57" s="52">
        <f t="shared" si="7"/>
        <v>1293</v>
      </c>
      <c r="I57" s="73"/>
    </row>
    <row r="58" spans="1:9" ht="15.75" thickBot="1" x14ac:dyDescent="0.3"/>
    <row r="59" spans="1:9" ht="14.45" customHeight="1" x14ac:dyDescent="0.25">
      <c r="A59" s="459" t="s">
        <v>109</v>
      </c>
      <c r="B59" s="466" t="s">
        <v>1</v>
      </c>
      <c r="C59" s="446" t="s">
        <v>105</v>
      </c>
      <c r="D59" s="450"/>
      <c r="E59" s="451" t="s">
        <v>107</v>
      </c>
      <c r="F59" s="449"/>
    </row>
    <row r="60" spans="1:9" ht="15.75" thickBot="1" x14ac:dyDescent="0.3">
      <c r="A60" s="460"/>
      <c r="B60" s="467"/>
      <c r="C60" s="65" t="s">
        <v>217</v>
      </c>
      <c r="D60" s="66" t="s">
        <v>121</v>
      </c>
      <c r="E60" s="67" t="s">
        <v>217</v>
      </c>
      <c r="F60" s="66" t="s">
        <v>121</v>
      </c>
    </row>
    <row r="61" spans="1:9" x14ac:dyDescent="0.25">
      <c r="A61" s="62" t="s">
        <v>87</v>
      </c>
      <c r="B61" s="63" t="s">
        <v>61</v>
      </c>
      <c r="C61" s="62">
        <v>85</v>
      </c>
      <c r="D61" s="74"/>
      <c r="E61" s="64">
        <f>ROUND(C61*0.8,0)</f>
        <v>68</v>
      </c>
      <c r="F61" s="74"/>
    </row>
    <row r="62" spans="1:9" x14ac:dyDescent="0.25">
      <c r="A62" s="47" t="s">
        <v>88</v>
      </c>
      <c r="B62" s="48" t="s">
        <v>61</v>
      </c>
      <c r="C62" s="47">
        <v>145</v>
      </c>
      <c r="D62" s="72"/>
      <c r="E62" s="51">
        <f>ROUND(C62*0.8,0)</f>
        <v>116</v>
      </c>
      <c r="F62" s="72"/>
    </row>
    <row r="63" spans="1:9" x14ac:dyDescent="0.25">
      <c r="A63" s="47" t="s">
        <v>89</v>
      </c>
      <c r="B63" s="48" t="s">
        <v>90</v>
      </c>
      <c r="C63" s="47">
        <v>50</v>
      </c>
      <c r="D63" s="72"/>
      <c r="E63" s="51">
        <f>ROUND(C63*0.8,0)</f>
        <v>40</v>
      </c>
      <c r="F63" s="72"/>
    </row>
    <row r="64" spans="1:9" x14ac:dyDescent="0.25">
      <c r="A64" s="47" t="s">
        <v>91</v>
      </c>
      <c r="B64" s="48" t="s">
        <v>92</v>
      </c>
      <c r="C64" s="47">
        <v>18</v>
      </c>
      <c r="D64" s="72"/>
      <c r="E64" s="51">
        <f>ROUND(C64*0.8,0)</f>
        <v>14</v>
      </c>
      <c r="F64" s="72"/>
    </row>
    <row r="65" spans="1:6" x14ac:dyDescent="0.25">
      <c r="A65" s="47" t="s">
        <v>93</v>
      </c>
      <c r="B65" s="48" t="s">
        <v>61</v>
      </c>
      <c r="C65" s="47">
        <v>30</v>
      </c>
      <c r="D65" s="72"/>
      <c r="E65" s="51">
        <f t="shared" ref="E65:E69" si="9">ROUND(C65*0.8,0)</f>
        <v>24</v>
      </c>
      <c r="F65" s="72"/>
    </row>
    <row r="66" spans="1:6" x14ac:dyDescent="0.25">
      <c r="A66" s="47" t="s">
        <v>94</v>
      </c>
      <c r="B66" s="48" t="s">
        <v>61</v>
      </c>
      <c r="C66" s="47">
        <v>100</v>
      </c>
      <c r="D66" s="72"/>
      <c r="E66" s="51">
        <f t="shared" si="9"/>
        <v>80</v>
      </c>
      <c r="F66" s="72"/>
    </row>
    <row r="67" spans="1:6" x14ac:dyDescent="0.25">
      <c r="A67" s="47" t="s">
        <v>95</v>
      </c>
      <c r="B67" s="48" t="s">
        <v>92</v>
      </c>
      <c r="C67" s="47">
        <v>25</v>
      </c>
      <c r="D67" s="72"/>
      <c r="E67" s="51">
        <f t="shared" si="9"/>
        <v>20</v>
      </c>
      <c r="F67" s="72"/>
    </row>
    <row r="68" spans="1:6" x14ac:dyDescent="0.25">
      <c r="A68" s="47" t="s">
        <v>96</v>
      </c>
      <c r="B68" s="48" t="s">
        <v>97</v>
      </c>
      <c r="C68" s="47">
        <v>50</v>
      </c>
      <c r="D68" s="72"/>
      <c r="E68" s="51">
        <f t="shared" si="9"/>
        <v>40</v>
      </c>
      <c r="F68" s="72"/>
    </row>
    <row r="69" spans="1:6" x14ac:dyDescent="0.25">
      <c r="A69" s="47" t="s">
        <v>98</v>
      </c>
      <c r="B69" s="48" t="s">
        <v>90</v>
      </c>
      <c r="C69" s="47">
        <v>80</v>
      </c>
      <c r="D69" s="72"/>
      <c r="E69" s="51">
        <f t="shared" si="9"/>
        <v>64</v>
      </c>
      <c r="F69" s="72"/>
    </row>
    <row r="70" spans="1:6" ht="45" x14ac:dyDescent="0.25">
      <c r="A70" s="68" t="s">
        <v>218</v>
      </c>
      <c r="B70" s="69" t="s">
        <v>90</v>
      </c>
      <c r="C70" s="70"/>
      <c r="D70" s="75"/>
      <c r="E70" s="71"/>
      <c r="F70" s="75"/>
    </row>
    <row r="71" spans="1:6" x14ac:dyDescent="0.25">
      <c r="A71" s="47" t="s">
        <v>99</v>
      </c>
      <c r="B71" s="48" t="s">
        <v>61</v>
      </c>
      <c r="C71" s="47">
        <v>370</v>
      </c>
      <c r="D71" s="72"/>
      <c r="E71" s="51">
        <f t="shared" ref="E71:E73" si="10">ROUND(C71*0.8,0)</f>
        <v>296</v>
      </c>
      <c r="F71" s="72"/>
    </row>
    <row r="72" spans="1:6" x14ac:dyDescent="0.25">
      <c r="A72" s="47" t="s">
        <v>99</v>
      </c>
      <c r="B72" s="48" t="s">
        <v>73</v>
      </c>
      <c r="C72" s="47">
        <v>240</v>
      </c>
      <c r="D72" s="72"/>
      <c r="E72" s="51">
        <f t="shared" si="10"/>
        <v>192</v>
      </c>
      <c r="F72" s="72"/>
    </row>
    <row r="73" spans="1:6" x14ac:dyDescent="0.25">
      <c r="A73" s="47" t="s">
        <v>100</v>
      </c>
      <c r="B73" s="48" t="s">
        <v>101</v>
      </c>
      <c r="C73" s="47">
        <v>40</v>
      </c>
      <c r="D73" s="72"/>
      <c r="E73" s="51">
        <f t="shared" si="10"/>
        <v>32</v>
      </c>
      <c r="F73" s="72"/>
    </row>
    <row r="74" spans="1:6" ht="15.75" thickBot="1" x14ac:dyDescent="0.3">
      <c r="A74" s="49" t="s">
        <v>102</v>
      </c>
      <c r="B74" s="50" t="s">
        <v>103</v>
      </c>
      <c r="C74" s="49">
        <v>60</v>
      </c>
      <c r="D74" s="73"/>
      <c r="E74" s="52">
        <f t="shared" ref="E74" si="11">ROUND(C74*0.8,0)</f>
        <v>48</v>
      </c>
      <c r="F74" s="73"/>
    </row>
  </sheetData>
  <mergeCells count="34">
    <mergeCell ref="F43:G43"/>
    <mergeCell ref="H43:I43"/>
    <mergeCell ref="A59:A60"/>
    <mergeCell ref="B35:C35"/>
    <mergeCell ref="D35:E35"/>
    <mergeCell ref="F35:G35"/>
    <mergeCell ref="H35:I35"/>
    <mergeCell ref="C59:D59"/>
    <mergeCell ref="E59:F59"/>
    <mergeCell ref="B42:E42"/>
    <mergeCell ref="F42:I42"/>
    <mergeCell ref="B59:B60"/>
    <mergeCell ref="F16:G16"/>
    <mergeCell ref="H16:I16"/>
    <mergeCell ref="F15:I15"/>
    <mergeCell ref="B15:E15"/>
    <mergeCell ref="B34:E34"/>
    <mergeCell ref="F34:I34"/>
    <mergeCell ref="B27:C27"/>
    <mergeCell ref="D27:E27"/>
    <mergeCell ref="F27:G27"/>
    <mergeCell ref="H27:I27"/>
    <mergeCell ref="B26:E26"/>
    <mergeCell ref="F26:I26"/>
    <mergeCell ref="A10:C10"/>
    <mergeCell ref="A13:C13"/>
    <mergeCell ref="B16:C16"/>
    <mergeCell ref="D16:E16"/>
    <mergeCell ref="B43:C43"/>
    <mergeCell ref="D43:E43"/>
    <mergeCell ref="A16:A17"/>
    <mergeCell ref="A35:A36"/>
    <mergeCell ref="A43:A44"/>
    <mergeCell ref="A27:A28"/>
  </mergeCells>
  <pageMargins left="0.7" right="0.7" top="0.75" bottom="0.75" header="0.3" footer="0.3"/>
  <pageSetup paperSize="9" scale="6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59999389629810485"/>
    <pageSetUpPr fitToPage="1"/>
  </sheetPr>
  <dimension ref="A1:F19"/>
  <sheetViews>
    <sheetView workbookViewId="0">
      <selection activeCell="F13" sqref="F13"/>
    </sheetView>
  </sheetViews>
  <sheetFormatPr baseColWidth="10" defaultRowHeight="15" x14ac:dyDescent="0.25"/>
  <cols>
    <col min="1" max="1" width="49.5703125" customWidth="1"/>
    <col min="3" max="3" width="27.85546875" customWidth="1"/>
    <col min="4" max="4" width="16.7109375" bestFit="1" customWidth="1"/>
  </cols>
  <sheetData>
    <row r="1" spans="1:6" ht="18.75" x14ac:dyDescent="0.3">
      <c r="A1" s="39" t="s">
        <v>371</v>
      </c>
    </row>
    <row r="2" spans="1:6" ht="15.75" thickBot="1" x14ac:dyDescent="0.3"/>
    <row r="3" spans="1:6" ht="45" x14ac:dyDescent="0.25">
      <c r="A3" s="105" t="s">
        <v>375</v>
      </c>
      <c r="B3" s="106" t="s">
        <v>374</v>
      </c>
      <c r="C3" s="106" t="s">
        <v>472</v>
      </c>
      <c r="D3" s="106" t="s">
        <v>132</v>
      </c>
      <c r="E3" s="107" t="s">
        <v>123</v>
      </c>
    </row>
    <row r="4" spans="1:6" x14ac:dyDescent="0.25">
      <c r="A4" s="108" t="s">
        <v>129</v>
      </c>
      <c r="B4" s="93">
        <v>17.5</v>
      </c>
      <c r="C4" s="95"/>
      <c r="D4" s="97">
        <f>'Fiche de coûts'!C14+2</f>
        <v>9</v>
      </c>
      <c r="E4" s="109">
        <f>B4*D4*C4</f>
        <v>0</v>
      </c>
    </row>
    <row r="5" spans="1:6" x14ac:dyDescent="0.25">
      <c r="A5" s="108" t="s">
        <v>128</v>
      </c>
      <c r="B5" s="93">
        <v>12.5</v>
      </c>
      <c r="C5" s="95">
        <v>3</v>
      </c>
      <c r="D5" s="97">
        <f>'Fiche de coûts'!C14+2</f>
        <v>9</v>
      </c>
      <c r="E5" s="109">
        <f t="shared" ref="E5:E7" si="0">B5*D5*C5</f>
        <v>337.5</v>
      </c>
    </row>
    <row r="6" spans="1:6" x14ac:dyDescent="0.25">
      <c r="A6" s="108" t="s">
        <v>130</v>
      </c>
      <c r="B6" s="93">
        <v>6</v>
      </c>
      <c r="C6" s="95"/>
      <c r="D6" s="97">
        <f>'Fiche de coûts'!C14</f>
        <v>7</v>
      </c>
      <c r="E6" s="109">
        <f t="shared" si="0"/>
        <v>0</v>
      </c>
    </row>
    <row r="7" spans="1:6" x14ac:dyDescent="0.25">
      <c r="A7" s="110" t="s">
        <v>122</v>
      </c>
      <c r="B7" s="94"/>
      <c r="C7" s="96"/>
      <c r="D7" s="97">
        <f>'Fiche de coûts'!C14</f>
        <v>7</v>
      </c>
      <c r="E7" s="109">
        <f t="shared" si="0"/>
        <v>0</v>
      </c>
    </row>
    <row r="8" spans="1:6" ht="16.5" thickBot="1" x14ac:dyDescent="0.3">
      <c r="A8" s="468" t="s">
        <v>131</v>
      </c>
      <c r="B8" s="469"/>
      <c r="C8" s="469"/>
      <c r="D8" s="469"/>
      <c r="E8" s="111">
        <f>SUM(E4:E7)</f>
        <v>337.5</v>
      </c>
    </row>
    <row r="10" spans="1:6" ht="15.75" thickBot="1" x14ac:dyDescent="0.3"/>
    <row r="11" spans="1:6" ht="60" x14ac:dyDescent="0.25">
      <c r="A11" s="105" t="s">
        <v>376</v>
      </c>
      <c r="B11" s="106" t="s">
        <v>374</v>
      </c>
      <c r="C11" s="106" t="s">
        <v>473</v>
      </c>
      <c r="D11" s="106" t="s">
        <v>132</v>
      </c>
      <c r="E11" s="107" t="s">
        <v>138</v>
      </c>
    </row>
    <row r="12" spans="1:6" ht="45" x14ac:dyDescent="0.25">
      <c r="A12" s="108" t="s">
        <v>207</v>
      </c>
      <c r="B12" s="93">
        <v>15</v>
      </c>
      <c r="C12" s="95"/>
      <c r="D12" s="198">
        <f>'Fiche de coûts'!C14</f>
        <v>7</v>
      </c>
      <c r="E12" s="199">
        <f>B12*D12*C12</f>
        <v>0</v>
      </c>
    </row>
    <row r="13" spans="1:6" x14ac:dyDescent="0.25">
      <c r="A13" s="108" t="s">
        <v>137</v>
      </c>
      <c r="B13" s="93">
        <v>25</v>
      </c>
      <c r="C13" s="95">
        <v>0.5</v>
      </c>
      <c r="D13" s="198">
        <f>'Fiche de coûts'!C14</f>
        <v>7</v>
      </c>
      <c r="E13" s="199">
        <f t="shared" ref="E13:E15" si="1">B13*D13*C13</f>
        <v>87.5</v>
      </c>
      <c r="F13">
        <f>B13*C13</f>
        <v>12.5</v>
      </c>
    </row>
    <row r="14" spans="1:6" x14ac:dyDescent="0.25">
      <c r="A14" s="108" t="s">
        <v>136</v>
      </c>
      <c r="B14" s="93">
        <v>5</v>
      </c>
      <c r="C14" s="95"/>
      <c r="D14" s="198">
        <f>'Fiche de coûts'!C14</f>
        <v>7</v>
      </c>
      <c r="E14" s="199">
        <f t="shared" si="1"/>
        <v>0</v>
      </c>
    </row>
    <row r="15" spans="1:6" x14ac:dyDescent="0.25">
      <c r="A15" s="182" t="s">
        <v>479</v>
      </c>
      <c r="B15" s="183"/>
      <c r="C15" s="184"/>
      <c r="D15" s="198">
        <f>'Fiche de coûts'!C14</f>
        <v>7</v>
      </c>
      <c r="E15" s="199">
        <f t="shared" si="1"/>
        <v>0</v>
      </c>
    </row>
    <row r="16" spans="1:6" x14ac:dyDescent="0.25">
      <c r="A16" s="195" t="s">
        <v>506</v>
      </c>
      <c r="B16" s="183">
        <v>500</v>
      </c>
      <c r="C16" s="184">
        <v>1</v>
      </c>
      <c r="D16" s="198">
        <f>'Fiche de coûts'!C14</f>
        <v>7</v>
      </c>
      <c r="E16" s="199">
        <f t="shared" ref="E16:E18" si="2">B16*D16*C16</f>
        <v>3500</v>
      </c>
    </row>
    <row r="17" spans="1:5" ht="30" x14ac:dyDescent="0.25">
      <c r="A17" s="195" t="s">
        <v>200</v>
      </c>
      <c r="B17" s="183"/>
      <c r="C17" s="184"/>
      <c r="D17" s="198">
        <f>'Fiche de coûts'!C14</f>
        <v>7</v>
      </c>
      <c r="E17" s="199">
        <f t="shared" si="2"/>
        <v>0</v>
      </c>
    </row>
    <row r="18" spans="1:5" ht="30" x14ac:dyDescent="0.25">
      <c r="A18" s="195" t="s">
        <v>200</v>
      </c>
      <c r="B18" s="183"/>
      <c r="C18" s="184"/>
      <c r="D18" s="198">
        <f>'Fiche de coûts'!C14</f>
        <v>7</v>
      </c>
      <c r="E18" s="199">
        <f t="shared" si="2"/>
        <v>0</v>
      </c>
    </row>
    <row r="19" spans="1:5" ht="30.75" thickBot="1" x14ac:dyDescent="0.3">
      <c r="A19" s="196" t="s">
        <v>200</v>
      </c>
      <c r="B19" s="200"/>
      <c r="C19" s="201"/>
      <c r="D19" s="202">
        <f>'Fiche de coûts'!C14</f>
        <v>7</v>
      </c>
      <c r="E19" s="203">
        <f>B19*D19*C19</f>
        <v>0</v>
      </c>
    </row>
  </sheetData>
  <mergeCells count="1">
    <mergeCell ref="A8:D8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59999389629810485"/>
  </sheetPr>
  <dimension ref="A1:I13"/>
  <sheetViews>
    <sheetView workbookViewId="0">
      <selection activeCell="B13" sqref="B13"/>
    </sheetView>
  </sheetViews>
  <sheetFormatPr baseColWidth="10" defaultRowHeight="15" x14ac:dyDescent="0.25"/>
  <cols>
    <col min="1" max="1" width="23.28515625" bestFit="1" customWidth="1"/>
    <col min="2" max="2" width="23.28515625" customWidth="1"/>
    <col min="3" max="3" width="10" customWidth="1"/>
    <col min="9" max="9" width="16.140625" customWidth="1"/>
  </cols>
  <sheetData>
    <row r="1" spans="1:9" x14ac:dyDescent="0.25">
      <c r="A1" t="s">
        <v>372</v>
      </c>
    </row>
    <row r="2" spans="1:9" x14ac:dyDescent="0.25">
      <c r="A2" s="112" t="s">
        <v>150</v>
      </c>
      <c r="B2" s="112"/>
    </row>
    <row r="3" spans="1:9" x14ac:dyDescent="0.25">
      <c r="A3" s="112"/>
      <c r="B3" s="112"/>
    </row>
    <row r="4" spans="1:9" ht="15.75" thickBot="1" x14ac:dyDescent="0.3"/>
    <row r="5" spans="1:9" ht="29.45" customHeight="1" thickBot="1" x14ac:dyDescent="0.3">
      <c r="C5" s="472" t="s">
        <v>152</v>
      </c>
      <c r="D5" s="473"/>
      <c r="E5" s="472" t="s">
        <v>151</v>
      </c>
      <c r="F5" s="474"/>
      <c r="G5" s="472" t="s">
        <v>194</v>
      </c>
      <c r="H5" s="474"/>
      <c r="I5" s="470" t="s">
        <v>154</v>
      </c>
    </row>
    <row r="6" spans="1:9" ht="15.75" thickBot="1" x14ac:dyDescent="0.3">
      <c r="A6" s="114" t="s">
        <v>153</v>
      </c>
      <c r="B6" s="115" t="s">
        <v>1</v>
      </c>
      <c r="C6" s="120" t="s">
        <v>373</v>
      </c>
      <c r="D6" s="121" t="s">
        <v>121</v>
      </c>
      <c r="E6" s="120" t="s">
        <v>373</v>
      </c>
      <c r="F6" s="121" t="s">
        <v>121</v>
      </c>
      <c r="G6" s="120" t="s">
        <v>373</v>
      </c>
      <c r="H6" s="121" t="s">
        <v>121</v>
      </c>
      <c r="I6" s="471"/>
    </row>
    <row r="7" spans="1:9" x14ac:dyDescent="0.25">
      <c r="A7" s="113" t="s">
        <v>143</v>
      </c>
      <c r="B7" s="113" t="s">
        <v>144</v>
      </c>
      <c r="C7" s="62">
        <v>0.32</v>
      </c>
      <c r="D7" s="118"/>
      <c r="E7" s="62">
        <v>0.32</v>
      </c>
      <c r="F7" s="118"/>
      <c r="G7" s="62">
        <v>0</v>
      </c>
      <c r="H7" s="118"/>
      <c r="I7" s="119">
        <f>C7*D7+E7*F7+G7*H7</f>
        <v>0</v>
      </c>
    </row>
    <row r="8" spans="1:9" x14ac:dyDescent="0.25">
      <c r="A8" s="57" t="s">
        <v>145</v>
      </c>
      <c r="B8" s="57" t="s">
        <v>146</v>
      </c>
      <c r="C8" s="47">
        <v>92</v>
      </c>
      <c r="D8" s="102"/>
      <c r="E8" s="47">
        <v>72</v>
      </c>
      <c r="F8" s="102"/>
      <c r="G8" s="62">
        <v>0</v>
      </c>
      <c r="H8" s="102"/>
      <c r="I8" s="116">
        <f t="shared" ref="I8:I11" si="0">C8*D8+E8*F8+G8*H8</f>
        <v>0</v>
      </c>
    </row>
    <row r="9" spans="1:9" x14ac:dyDescent="0.25">
      <c r="A9" s="57" t="s">
        <v>147</v>
      </c>
      <c r="B9" s="57" t="s">
        <v>148</v>
      </c>
      <c r="C9" s="47">
        <v>22</v>
      </c>
      <c r="D9" s="102"/>
      <c r="E9" s="47">
        <v>22</v>
      </c>
      <c r="F9" s="102"/>
      <c r="G9" s="62">
        <v>0</v>
      </c>
      <c r="H9" s="102"/>
      <c r="I9" s="116">
        <f t="shared" si="0"/>
        <v>0</v>
      </c>
    </row>
    <row r="10" spans="1:9" x14ac:dyDescent="0.25">
      <c r="A10" s="57" t="s">
        <v>149</v>
      </c>
      <c r="B10" s="57" t="s">
        <v>148</v>
      </c>
      <c r="C10" s="47">
        <v>17.5</v>
      </c>
      <c r="D10" s="102"/>
      <c r="E10" s="47">
        <v>17.5</v>
      </c>
      <c r="F10" s="102"/>
      <c r="G10" s="62">
        <v>0</v>
      </c>
      <c r="H10" s="102"/>
      <c r="I10" s="116">
        <f t="shared" si="0"/>
        <v>0</v>
      </c>
    </row>
    <row r="11" spans="1:9" ht="15.75" thickBot="1" x14ac:dyDescent="0.3">
      <c r="A11" s="58" t="s">
        <v>122</v>
      </c>
      <c r="B11" s="58" t="s">
        <v>148</v>
      </c>
      <c r="C11" s="49"/>
      <c r="D11" s="104"/>
      <c r="E11" s="49">
        <f>ROUND(C11*0.65,0)</f>
        <v>0</v>
      </c>
      <c r="F11" s="104"/>
      <c r="G11" s="49">
        <f>ROUND(E11*0.65,0)</f>
        <v>0</v>
      </c>
      <c r="H11" s="104"/>
      <c r="I11" s="117">
        <f t="shared" si="0"/>
        <v>0</v>
      </c>
    </row>
    <row r="12" spans="1:9" ht="16.5" thickBot="1" x14ac:dyDescent="0.3">
      <c r="I12" s="122">
        <f>SUM(I7:I11)</f>
        <v>0</v>
      </c>
    </row>
    <row r="13" spans="1:9" x14ac:dyDescent="0.25">
      <c r="A13" s="289" t="s">
        <v>343</v>
      </c>
    </row>
  </sheetData>
  <mergeCells count="4">
    <mergeCell ref="I5:I6"/>
    <mergeCell ref="C5:D5"/>
    <mergeCell ref="E5:F5"/>
    <mergeCell ref="G5:H5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  <pageSetUpPr fitToPage="1"/>
  </sheetPr>
  <dimension ref="A1:M120"/>
  <sheetViews>
    <sheetView showGridLines="0" zoomScaleNormal="100" workbookViewId="0">
      <selection activeCell="C12" sqref="C12"/>
    </sheetView>
  </sheetViews>
  <sheetFormatPr baseColWidth="10" defaultColWidth="11.5703125" defaultRowHeight="15" x14ac:dyDescent="0.25"/>
  <cols>
    <col min="1" max="1" width="17.28515625" style="1" customWidth="1"/>
    <col min="2" max="2" width="55.28515625" style="1" customWidth="1"/>
    <col min="3" max="8" width="11.5703125" style="1"/>
    <col min="9" max="9" width="13.140625" style="1" customWidth="1"/>
    <col min="10" max="13" width="13.28515625" style="1" customWidth="1"/>
    <col min="14" max="14" width="11.5703125" style="1"/>
    <col min="15" max="15" width="22.5703125" style="1" customWidth="1"/>
    <col min="16" max="16" width="11.5703125" style="1"/>
    <col min="17" max="17" width="12.5703125" style="1" customWidth="1"/>
    <col min="18" max="18" width="18.7109375" style="1" customWidth="1"/>
    <col min="19" max="19" width="12.7109375" style="1" customWidth="1"/>
    <col min="20" max="20" width="13.28515625" style="1" customWidth="1"/>
    <col min="21" max="16384" width="11.5703125" style="1"/>
  </cols>
  <sheetData>
    <row r="1" spans="1:13" ht="31.5" x14ac:dyDescent="0.25">
      <c r="A1" s="399" t="str">
        <f>'Fiche de coûts'!A1:M1</f>
        <v>Fiche de coûts INSTN - V1.4 du 25/01/2019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</row>
    <row r="3" spans="1:13" ht="54.6" customHeight="1" x14ac:dyDescent="0.25">
      <c r="C3" s="494" t="s">
        <v>347</v>
      </c>
      <c r="D3" s="494"/>
      <c r="E3" s="494"/>
    </row>
    <row r="5" spans="1:13" ht="43.15" customHeight="1" x14ac:dyDescent="0.25">
      <c r="B5" s="133" t="s">
        <v>197</v>
      </c>
      <c r="C5" s="401" t="str">
        <f>'Fiche de coûts'!C5:F5</f>
        <v>Télémanipulation</v>
      </c>
      <c r="D5" s="402"/>
      <c r="E5" s="402"/>
      <c r="F5" s="403"/>
      <c r="J5" s="271" t="s">
        <v>16</v>
      </c>
      <c r="K5" s="271" t="s">
        <v>17</v>
      </c>
      <c r="L5" s="410" t="str">
        <f>CONCATENATE("Prix de vente hors CEA préconisé avec taux de marge de ",C15*100,"%")</f>
        <v>Prix de vente hors CEA préconisé avec taux de marge de 10%</v>
      </c>
      <c r="M5" s="410"/>
    </row>
    <row r="6" spans="1:13" ht="14.45" customHeight="1" x14ac:dyDescent="0.25">
      <c r="B6" s="133" t="s">
        <v>175</v>
      </c>
      <c r="C6" s="165" t="str">
        <f>'Fiche de coûts'!C6:F6</f>
        <v>TEL</v>
      </c>
      <c r="G6" s="407" t="s">
        <v>474</v>
      </c>
      <c r="H6" s="408"/>
      <c r="I6" s="409"/>
      <c r="J6" s="132">
        <f>K29</f>
        <v>0</v>
      </c>
      <c r="K6" s="132">
        <f>L29</f>
        <v>0</v>
      </c>
      <c r="L6" s="493">
        <f>K6*(1+C15)</f>
        <v>0</v>
      </c>
      <c r="M6" s="493"/>
    </row>
    <row r="7" spans="1:13" ht="14.45" customHeight="1" x14ac:dyDescent="0.25">
      <c r="B7" s="6" t="s">
        <v>180</v>
      </c>
      <c r="C7" s="161">
        <f>'Fiche de coûts'!C7:F7</f>
        <v>36161</v>
      </c>
      <c r="G7" s="405" t="s">
        <v>184</v>
      </c>
      <c r="H7" s="405"/>
      <c r="I7" s="405"/>
      <c r="J7" s="131">
        <f>K53+K97-K80-K81-K82-K83-K84-K85-K86-K87-K88</f>
        <v>0</v>
      </c>
      <c r="K7" s="131">
        <f>L53+L97-L80-L81-L82-L83-L84-L85-L86-L87-L88</f>
        <v>0</v>
      </c>
      <c r="L7" s="492">
        <f>K7*(1+C15)</f>
        <v>0</v>
      </c>
      <c r="M7" s="492"/>
    </row>
    <row r="8" spans="1:13" ht="14.45" customHeight="1" x14ac:dyDescent="0.25">
      <c r="B8" s="6" t="s">
        <v>176</v>
      </c>
      <c r="C8" s="6" t="str">
        <f>'Fiche de coûts'!C8:F8</f>
        <v>FC INTER</v>
      </c>
      <c r="G8" s="405" t="s">
        <v>183</v>
      </c>
      <c r="H8" s="405"/>
      <c r="I8" s="405"/>
      <c r="J8" s="131">
        <f>K80+K81+K82+K83+K84+K85+K86+K87+K88</f>
        <v>0</v>
      </c>
      <c r="K8" s="131">
        <f>L80+L81+L82+L83+L84+L85+L86+L87+L88</f>
        <v>0</v>
      </c>
      <c r="L8" s="492">
        <f>K8*(1+C15)</f>
        <v>0</v>
      </c>
      <c r="M8" s="492"/>
    </row>
    <row r="9" spans="1:13" ht="14.45" customHeight="1" x14ac:dyDescent="0.25">
      <c r="B9" s="6" t="s">
        <v>191</v>
      </c>
      <c r="C9" s="6">
        <f>'Fiche de coûts'!C9:F9</f>
        <v>3</v>
      </c>
      <c r="G9" s="378" t="s">
        <v>181</v>
      </c>
      <c r="H9" s="378"/>
      <c r="I9" s="378"/>
      <c r="J9" s="6">
        <f>ROUND(J6*0.1,0)</f>
        <v>0</v>
      </c>
      <c r="K9" s="6">
        <f t="shared" ref="K9" si="0">ROUND(K6*0.1,0)</f>
        <v>0</v>
      </c>
      <c r="L9" s="439">
        <f>ROUND(L6*0.1,0)</f>
        <v>0</v>
      </c>
      <c r="M9" s="439"/>
    </row>
    <row r="10" spans="1:13" ht="14.45" customHeight="1" x14ac:dyDescent="0.25">
      <c r="B10" s="6" t="s">
        <v>192</v>
      </c>
      <c r="C10" s="163" t="str">
        <f>'Fiche de coûts'!C10:F10</f>
        <v>J.VIDECOQ</v>
      </c>
      <c r="G10" s="406" t="s">
        <v>475</v>
      </c>
      <c r="H10" s="406"/>
      <c r="I10" s="406"/>
      <c r="J10" s="132">
        <f>J6+J9</f>
        <v>0</v>
      </c>
      <c r="K10" s="132">
        <f t="shared" ref="K10:L10" si="1">K6+K9</f>
        <v>0</v>
      </c>
      <c r="L10" s="493">
        <f t="shared" si="1"/>
        <v>0</v>
      </c>
      <c r="M10" s="493"/>
    </row>
    <row r="11" spans="1:13" ht="14.45" customHeight="1" x14ac:dyDescent="0.25">
      <c r="B11" s="166" t="s">
        <v>346</v>
      </c>
      <c r="C11" s="391" t="str">
        <f>'Fiche de coûts'!C11:F11</f>
        <v>LOCTHEXPMAIN</v>
      </c>
      <c r="D11" s="392"/>
      <c r="E11" s="393"/>
      <c r="G11" s="406" t="s">
        <v>476</v>
      </c>
      <c r="H11" s="406"/>
      <c r="I11" s="406"/>
      <c r="J11" s="133">
        <f>ROUND(J10/C14,0)</f>
        <v>0</v>
      </c>
      <c r="K11" s="133">
        <f>ROUND(K10/C14,0)</f>
        <v>0</v>
      </c>
      <c r="L11" s="410">
        <f>ROUND(L10/C14,0)</f>
        <v>0</v>
      </c>
      <c r="M11" s="410"/>
    </row>
    <row r="12" spans="1:13" ht="14.45" customHeight="1" x14ac:dyDescent="0.25">
      <c r="B12" s="6" t="s">
        <v>345</v>
      </c>
      <c r="C12" s="269" t="str">
        <f>'Fiche de coûts'!C12:F12</f>
        <v>Projet 06</v>
      </c>
      <c r="D12" s="490"/>
      <c r="E12" s="491"/>
      <c r="G12" s="378" t="s">
        <v>477</v>
      </c>
      <c r="H12" s="378"/>
      <c r="I12" s="378"/>
      <c r="J12" s="6">
        <f>IF(OR(LEFT(C8,2)="FC",LEFT(C8,2)="Ce"),ROUND(J10/C9,0),"Non applicable")</f>
        <v>0</v>
      </c>
      <c r="K12" s="6">
        <f>IF(OR(LEFT(C8,2)="FC",LEFT(C8,2)="Ce"),ROUND(K10/C9,0),"Non applicable")</f>
        <v>0</v>
      </c>
      <c r="L12" s="439">
        <f>IF(OR(LEFT(C8,2)="FC",LEFT(C8,2)="Ce"),ROUND(L10/C9,0),"Non applicable")</f>
        <v>0</v>
      </c>
      <c r="M12" s="439"/>
    </row>
    <row r="13" spans="1:13" ht="14.45" customHeight="1" x14ac:dyDescent="0.25">
      <c r="B13" s="164" t="s">
        <v>177</v>
      </c>
      <c r="C13" s="164" t="s">
        <v>179</v>
      </c>
      <c r="G13" s="378" t="s">
        <v>478</v>
      </c>
      <c r="H13" s="378"/>
      <c r="I13" s="378"/>
      <c r="J13" s="6">
        <f>IF(LEFT(J12,1)="N",J12,ROUND(J12/C14,0))</f>
        <v>0</v>
      </c>
      <c r="K13" s="6">
        <f>IF(LEFT(K12,1)="N",K12,ROUND(K12/C14,0))</f>
        <v>0</v>
      </c>
      <c r="L13" s="439">
        <f>IF(LEFT(L12,1)="N",L12,ROUND(L12/C14,0))</f>
        <v>0</v>
      </c>
      <c r="M13" s="439"/>
    </row>
    <row r="14" spans="1:13" ht="15" customHeight="1" x14ac:dyDescent="0.25">
      <c r="B14" s="160" t="s">
        <v>171</v>
      </c>
      <c r="C14" s="162">
        <f>'Fiche de coûts'!C14:F14</f>
        <v>7</v>
      </c>
      <c r="D14" s="129"/>
      <c r="E14" s="129"/>
      <c r="F14" s="129"/>
      <c r="G14" s="404" t="s">
        <v>182</v>
      </c>
      <c r="H14" s="404"/>
      <c r="I14" s="404"/>
      <c r="J14" s="160" t="e">
        <f>ROUNDUP(J7/(J11-J8/C14),0)</f>
        <v>#DIV/0!</v>
      </c>
      <c r="K14" s="160" t="e">
        <f>ROUNDUP(J7/(K11-J8/C14),0)</f>
        <v>#DIV/0!</v>
      </c>
      <c r="L14" s="483" t="e">
        <f>ROUNDUP(J7/(L11-J8/C14),0)</f>
        <v>#DIV/0!</v>
      </c>
      <c r="M14" s="483"/>
    </row>
    <row r="15" spans="1:13" ht="15" customHeight="1" x14ac:dyDescent="0.25">
      <c r="B15" s="133" t="s">
        <v>187</v>
      </c>
      <c r="C15" s="210">
        <f>'Fiche de coûts'!C15:F15</f>
        <v>0.1</v>
      </c>
      <c r="D15" s="208" t="s">
        <v>471</v>
      </c>
      <c r="E15" s="188"/>
      <c r="F15" s="177"/>
      <c r="G15" s="378" t="s">
        <v>185</v>
      </c>
      <c r="H15" s="378"/>
      <c r="I15" s="378"/>
      <c r="J15" s="6" t="e">
        <f>J11*J14</f>
        <v>#DIV/0!</v>
      </c>
      <c r="K15" s="6" t="e">
        <f>K11*K14</f>
        <v>#DIV/0!</v>
      </c>
      <c r="L15" s="439" t="e">
        <f>L11*L14</f>
        <v>#DIV/0!</v>
      </c>
      <c r="M15" s="439"/>
    </row>
    <row r="16" spans="1:13" ht="15" customHeight="1" thickBot="1" x14ac:dyDescent="0.3">
      <c r="D16" s="209" t="s">
        <v>195</v>
      </c>
      <c r="E16" s="189"/>
      <c r="G16" s="411" t="s">
        <v>186</v>
      </c>
      <c r="H16" s="412"/>
      <c r="I16" s="413"/>
      <c r="J16" s="181" t="e">
        <f>ROUND(J7+J8/C14*J14,0)</f>
        <v>#DIV/0!</v>
      </c>
      <c r="K16" s="181" t="e">
        <f>ROUND(J7+J8/C14*K14,0)</f>
        <v>#DIV/0!</v>
      </c>
      <c r="L16" s="484" t="e">
        <f>ROUND(J7+J8/C14*L14,0)</f>
        <v>#DIV/0!</v>
      </c>
      <c r="M16" s="485"/>
    </row>
    <row r="17" spans="1:13" ht="15.75" thickTop="1" x14ac:dyDescent="0.25">
      <c r="B17" s="4" t="s">
        <v>468</v>
      </c>
      <c r="D17" s="194"/>
      <c r="E17" s="190"/>
      <c r="G17" s="416" t="s">
        <v>206</v>
      </c>
      <c r="H17" s="417"/>
      <c r="I17" s="417"/>
      <c r="J17" s="331" t="s">
        <v>190</v>
      </c>
      <c r="K17" s="486" t="s">
        <v>465</v>
      </c>
      <c r="L17" s="487"/>
    </row>
    <row r="18" spans="1:13" ht="15.75" thickBot="1" x14ac:dyDescent="0.3">
      <c r="D18" s="194"/>
      <c r="E18" s="190"/>
      <c r="G18" s="422" t="s">
        <v>220</v>
      </c>
      <c r="H18" s="423"/>
      <c r="I18" s="423"/>
      <c r="J18" s="332" t="s">
        <v>190</v>
      </c>
      <c r="K18" s="488"/>
      <c r="L18" s="489"/>
    </row>
    <row r="19" spans="1:13" ht="16.5" thickTop="1" thickBot="1" x14ac:dyDescent="0.3">
      <c r="D19" s="194"/>
      <c r="E19" s="190"/>
      <c r="G19" s="418"/>
      <c r="H19" s="418"/>
      <c r="I19" s="418"/>
      <c r="J19" s="192"/>
    </row>
    <row r="20" spans="1:13" ht="15.75" thickBot="1" x14ac:dyDescent="0.3">
      <c r="D20" s="194"/>
      <c r="E20" s="190"/>
      <c r="G20" s="419" t="s">
        <v>212</v>
      </c>
      <c r="H20" s="420"/>
      <c r="I20" s="420"/>
      <c r="J20" s="420"/>
      <c r="K20" s="420"/>
      <c r="L20" s="420"/>
      <c r="M20" s="421"/>
    </row>
    <row r="21" spans="1:13" x14ac:dyDescent="0.25">
      <c r="D21" s="194"/>
      <c r="E21" s="190"/>
      <c r="G21" s="414" t="s">
        <v>208</v>
      </c>
      <c r="H21" s="415"/>
      <c r="I21" s="415"/>
      <c r="J21" s="280">
        <f>IF(I50=0,K49,0)</f>
        <v>0</v>
      </c>
      <c r="K21" s="280">
        <f>IF(I50=0,L49,0)</f>
        <v>0</v>
      </c>
      <c r="L21" s="477">
        <f>IF(I50=0,M49,0)</f>
        <v>0</v>
      </c>
      <c r="M21" s="478"/>
    </row>
    <row r="22" spans="1:13" x14ac:dyDescent="0.25">
      <c r="D22" s="194"/>
      <c r="E22" s="190"/>
      <c r="G22" s="380" t="s">
        <v>209</v>
      </c>
      <c r="H22" s="381"/>
      <c r="I22" s="381"/>
      <c r="J22" s="278">
        <f>IF(OR(LEFT(C8,2)="FC",LEFT(C8,2)="Ce"),ROUND(J21/C9,0),"Non applicable")</f>
        <v>0</v>
      </c>
      <c r="K22" s="278">
        <f>IF(OR(LEFT(C8,2)="FC",LEFT(C8,2)="Ce"),ROUND(K21/C9,0),"Non applicable")</f>
        <v>0</v>
      </c>
      <c r="L22" s="479">
        <f>IF(OR(LEFT(C8,2)="FC",LEFT(C8,2)="Ce"),ROUND(L21/C9,0),"Non applicable")</f>
        <v>0</v>
      </c>
      <c r="M22" s="480"/>
    </row>
    <row r="23" spans="1:13" x14ac:dyDescent="0.25">
      <c r="D23" s="194"/>
      <c r="E23" s="190"/>
      <c r="G23" s="380" t="s">
        <v>210</v>
      </c>
      <c r="H23" s="381"/>
      <c r="I23" s="381"/>
      <c r="J23" s="278">
        <f>J21/C14</f>
        <v>0</v>
      </c>
      <c r="K23" s="278">
        <f>K21/C14</f>
        <v>0</v>
      </c>
      <c r="L23" s="479">
        <f>L21/C14</f>
        <v>0</v>
      </c>
      <c r="M23" s="480"/>
    </row>
    <row r="24" spans="1:13" ht="15.75" thickBot="1" x14ac:dyDescent="0.3">
      <c r="D24" s="194"/>
      <c r="E24" s="190"/>
      <c r="G24" s="387" t="s">
        <v>211</v>
      </c>
      <c r="H24" s="388"/>
      <c r="I24" s="388"/>
      <c r="J24" s="279">
        <f>IF(LEFT(J22,1)="N","Non applicable",ROUND(J23/C9,0))</f>
        <v>0</v>
      </c>
      <c r="K24" s="279">
        <f>IF(LEFT(K22,1)="N","Non applicable",ROUND(K23/C9,0))</f>
        <v>0</v>
      </c>
      <c r="L24" s="481">
        <f>IF(LEFT(K22,1)="N","Non applicable",ROUND(K23/C9,0))</f>
        <v>0</v>
      </c>
      <c r="M24" s="482"/>
    </row>
    <row r="25" spans="1:13" ht="15.75" thickBot="1" x14ac:dyDescent="0.3">
      <c r="D25" s="194"/>
      <c r="E25" s="190"/>
      <c r="G25" s="191"/>
      <c r="H25" s="191"/>
      <c r="I25" s="191"/>
      <c r="J25" s="192"/>
    </row>
    <row r="26" spans="1:13" ht="45.75" thickBot="1" x14ac:dyDescent="0.3">
      <c r="B26" s="4"/>
      <c r="G26" s="193"/>
      <c r="K26" s="20" t="s">
        <v>204</v>
      </c>
      <c r="L26" s="21" t="s">
        <v>203</v>
      </c>
      <c r="M26" s="21" t="s">
        <v>205</v>
      </c>
    </row>
    <row r="27" spans="1:13" ht="90.75" thickBot="1" x14ac:dyDescent="0.3">
      <c r="A27" s="134" t="s">
        <v>18</v>
      </c>
      <c r="B27" s="18" t="s">
        <v>0</v>
      </c>
      <c r="C27" s="18" t="s">
        <v>24</v>
      </c>
      <c r="D27" s="18" t="s">
        <v>25</v>
      </c>
      <c r="E27" s="18" t="s">
        <v>27</v>
      </c>
      <c r="F27" s="18" t="s">
        <v>47</v>
      </c>
      <c r="G27" s="18" t="s">
        <v>46</v>
      </c>
      <c r="H27" s="18" t="s">
        <v>45</v>
      </c>
      <c r="I27" s="18" t="s">
        <v>165</v>
      </c>
      <c r="J27" s="18" t="s">
        <v>44</v>
      </c>
      <c r="K27" s="18" t="s">
        <v>30</v>
      </c>
      <c r="L27" s="19" t="s">
        <v>29</v>
      </c>
      <c r="M27" s="151" t="s">
        <v>189</v>
      </c>
    </row>
    <row r="28" spans="1:13" ht="15.75" thickBot="1" x14ac:dyDescent="0.3">
      <c r="M28" s="152"/>
    </row>
    <row r="29" spans="1:13" ht="15.75" thickBot="1" x14ac:dyDescent="0.3">
      <c r="A29" s="358" t="s">
        <v>174</v>
      </c>
      <c r="B29" s="360"/>
      <c r="C29" s="360"/>
      <c r="D29" s="360"/>
      <c r="E29" s="360"/>
      <c r="F29" s="360"/>
      <c r="G29" s="360"/>
      <c r="H29" s="360"/>
      <c r="I29" s="360"/>
      <c r="J29" s="360"/>
      <c r="K29" s="123">
        <f>K53+K97</f>
        <v>0</v>
      </c>
      <c r="L29" s="135">
        <f>L53+L97</f>
        <v>0</v>
      </c>
      <c r="M29" s="153">
        <f>M53+M97</f>
        <v>0</v>
      </c>
    </row>
    <row r="30" spans="1:13" ht="15.75" thickBot="1" x14ac:dyDescent="0.3"/>
    <row r="31" spans="1:13" ht="14.45" customHeight="1" thickBot="1" x14ac:dyDescent="0.3">
      <c r="A31" s="372" t="s">
        <v>167</v>
      </c>
      <c r="B31" s="373"/>
      <c r="C31" s="373"/>
      <c r="D31" s="373"/>
      <c r="E31" s="373"/>
      <c r="F31" s="373"/>
      <c r="G31" s="373"/>
      <c r="H31" s="373"/>
      <c r="I31" s="373"/>
      <c r="J31" s="373"/>
      <c r="K31" s="373"/>
      <c r="L31" s="373"/>
      <c r="M31" s="374"/>
    </row>
    <row r="32" spans="1:13" ht="14.45" customHeight="1" x14ac:dyDescent="0.25">
      <c r="A32" s="368" t="s">
        <v>19</v>
      </c>
      <c r="B32" s="22" t="s">
        <v>14</v>
      </c>
      <c r="C32" s="23"/>
      <c r="D32" s="23"/>
      <c r="E32" s="24">
        <f>C32*C108+C109*D32</f>
        <v>0</v>
      </c>
      <c r="F32" s="82"/>
      <c r="G32" s="82"/>
      <c r="H32" s="83"/>
      <c r="I32" s="25"/>
      <c r="J32" s="26"/>
      <c r="K32" s="24">
        <f>SUM(E32:J32)-F32-G32</f>
        <v>0</v>
      </c>
      <c r="L32" s="24">
        <f>E32*(1+C110)+I32+J32*(1+C112)</f>
        <v>0</v>
      </c>
      <c r="M32" s="154">
        <f>E32*(1+C119)+I32+J32</f>
        <v>0</v>
      </c>
    </row>
    <row r="33" spans="1:13" ht="14.45" customHeight="1" thickBot="1" x14ac:dyDescent="0.3">
      <c r="A33" s="370"/>
      <c r="B33" s="27" t="s">
        <v>13</v>
      </c>
      <c r="C33" s="28"/>
      <c r="D33" s="28"/>
      <c r="E33" s="29">
        <f>C33*C108+C109*D33</f>
        <v>0</v>
      </c>
      <c r="F33" s="84"/>
      <c r="G33" s="84"/>
      <c r="H33" s="85"/>
      <c r="I33" s="30"/>
      <c r="J33" s="31"/>
      <c r="K33" s="29">
        <f t="shared" ref="K33:K48" si="2">SUM(E33:J33)-F33-G33</f>
        <v>0</v>
      </c>
      <c r="L33" s="29">
        <f>E33*(1+C110)+I33+J33*(1+C112)</f>
        <v>0</v>
      </c>
      <c r="M33" s="155">
        <f>E33*(1+C119)+I33+J33</f>
        <v>0</v>
      </c>
    </row>
    <row r="34" spans="1:13" x14ac:dyDescent="0.25">
      <c r="A34" s="368" t="s">
        <v>11</v>
      </c>
      <c r="B34" s="32" t="s">
        <v>2</v>
      </c>
      <c r="C34" s="23"/>
      <c r="D34" s="23"/>
      <c r="E34" s="24">
        <f>C34*C108+C109*D34</f>
        <v>0</v>
      </c>
      <c r="F34" s="82"/>
      <c r="G34" s="82"/>
      <c r="H34" s="83"/>
      <c r="I34" s="25"/>
      <c r="J34" s="26"/>
      <c r="K34" s="24">
        <f t="shared" si="2"/>
        <v>0</v>
      </c>
      <c r="L34" s="24">
        <f>E34*(1+C110)+I34+J34*(1+C112)</f>
        <v>0</v>
      </c>
      <c r="M34" s="154">
        <f>E34*(1+C119)+I34+J34</f>
        <v>0</v>
      </c>
    </row>
    <row r="35" spans="1:13" x14ac:dyDescent="0.25">
      <c r="A35" s="369"/>
      <c r="B35" s="5" t="s">
        <v>3</v>
      </c>
      <c r="C35" s="14"/>
      <c r="D35" s="14"/>
      <c r="E35" s="15">
        <f>C35*C108+C109*D35</f>
        <v>0</v>
      </c>
      <c r="F35" s="86"/>
      <c r="G35" s="86"/>
      <c r="H35" s="87"/>
      <c r="I35" s="16"/>
      <c r="J35" s="17"/>
      <c r="K35" s="15">
        <f t="shared" si="2"/>
        <v>0</v>
      </c>
      <c r="L35" s="15">
        <f>E35*(1+C110)+I35+J35*(1+C112)</f>
        <v>0</v>
      </c>
      <c r="M35" s="156">
        <f>E35*(1+C119)+I35+J35</f>
        <v>0</v>
      </c>
    </row>
    <row r="36" spans="1:13" x14ac:dyDescent="0.25">
      <c r="A36" s="369"/>
      <c r="B36" s="5" t="s">
        <v>4</v>
      </c>
      <c r="C36" s="14"/>
      <c r="D36" s="14"/>
      <c r="E36" s="15">
        <f>C36*C108+C109*D36</f>
        <v>0</v>
      </c>
      <c r="F36" s="86"/>
      <c r="G36" s="86"/>
      <c r="H36" s="87"/>
      <c r="I36" s="16"/>
      <c r="J36" s="17"/>
      <c r="K36" s="15">
        <f t="shared" si="2"/>
        <v>0</v>
      </c>
      <c r="L36" s="15">
        <f>E36*(1+C110)+I36+J36*(1+C112)</f>
        <v>0</v>
      </c>
      <c r="M36" s="156">
        <f>E36*(1+C119)+I36+J36</f>
        <v>0</v>
      </c>
    </row>
    <row r="37" spans="1:13" ht="15.75" thickBot="1" x14ac:dyDescent="0.3">
      <c r="A37" s="370"/>
      <c r="B37" s="33" t="s">
        <v>5</v>
      </c>
      <c r="C37" s="28"/>
      <c r="D37" s="28"/>
      <c r="E37" s="29">
        <f>C37*C108+C109*D37</f>
        <v>0</v>
      </c>
      <c r="F37" s="84"/>
      <c r="G37" s="84"/>
      <c r="H37" s="85"/>
      <c r="I37" s="30"/>
      <c r="J37" s="31"/>
      <c r="K37" s="29">
        <f t="shared" si="2"/>
        <v>0</v>
      </c>
      <c r="L37" s="29">
        <f>E37*(1+C110)+I37+J37*(1+C112)</f>
        <v>0</v>
      </c>
      <c r="M37" s="155">
        <f>E37*(1+C119)+I37+J37</f>
        <v>0</v>
      </c>
    </row>
    <row r="38" spans="1:13" x14ac:dyDescent="0.25">
      <c r="A38" s="368" t="s">
        <v>12</v>
      </c>
      <c r="B38" s="22" t="s">
        <v>6</v>
      </c>
      <c r="C38" s="23"/>
      <c r="D38" s="23"/>
      <c r="E38" s="24">
        <f>C38*C108+C109*D38</f>
        <v>0</v>
      </c>
      <c r="F38" s="82"/>
      <c r="G38" s="82"/>
      <c r="H38" s="83"/>
      <c r="I38" s="25"/>
      <c r="J38" s="26"/>
      <c r="K38" s="24">
        <f t="shared" si="2"/>
        <v>0</v>
      </c>
      <c r="L38" s="24">
        <f>E38*(1+C110)+I38+J38*(1+C112)</f>
        <v>0</v>
      </c>
      <c r="M38" s="154">
        <f>E38*(1+C119)+I38+J38</f>
        <v>0</v>
      </c>
    </row>
    <row r="39" spans="1:13" x14ac:dyDescent="0.25">
      <c r="A39" s="369"/>
      <c r="B39" s="8" t="s">
        <v>7</v>
      </c>
      <c r="C39" s="14"/>
      <c r="D39" s="14"/>
      <c r="E39" s="15">
        <f>C39*C108+C109*D39</f>
        <v>0</v>
      </c>
      <c r="F39" s="86"/>
      <c r="G39" s="86"/>
      <c r="H39" s="87"/>
      <c r="I39" s="16"/>
      <c r="J39" s="17"/>
      <c r="K39" s="15">
        <f t="shared" si="2"/>
        <v>0</v>
      </c>
      <c r="L39" s="15">
        <f>E39*(1+C110)+I39+J39*(1+C112)</f>
        <v>0</v>
      </c>
      <c r="M39" s="156">
        <f>E39*(1+C119)+I39+J39</f>
        <v>0</v>
      </c>
    </row>
    <row r="40" spans="1:13" x14ac:dyDescent="0.25">
      <c r="A40" s="369"/>
      <c r="B40" s="5" t="s">
        <v>8</v>
      </c>
      <c r="C40" s="14"/>
      <c r="D40" s="14"/>
      <c r="E40" s="15">
        <f>C40*C108+C109*D40</f>
        <v>0</v>
      </c>
      <c r="F40" s="86"/>
      <c r="G40" s="86"/>
      <c r="H40" s="87"/>
      <c r="I40" s="16"/>
      <c r="J40" s="17"/>
      <c r="K40" s="15">
        <f t="shared" si="2"/>
        <v>0</v>
      </c>
      <c r="L40" s="15">
        <f>E40*(1+C110)+I40+J40*(1+C112)</f>
        <v>0</v>
      </c>
      <c r="M40" s="156">
        <f>E40*(1+C119)+I40+J40</f>
        <v>0</v>
      </c>
    </row>
    <row r="41" spans="1:13" x14ac:dyDescent="0.25">
      <c r="A41" s="369"/>
      <c r="B41" s="186" t="s">
        <v>199</v>
      </c>
      <c r="C41" s="14"/>
      <c r="D41" s="14"/>
      <c r="E41" s="15">
        <f>C41*C108+C109*D41</f>
        <v>0</v>
      </c>
      <c r="F41" s="86"/>
      <c r="G41" s="86"/>
      <c r="H41" s="87"/>
      <c r="I41" s="16"/>
      <c r="J41" s="17"/>
      <c r="K41" s="15">
        <f t="shared" si="2"/>
        <v>0</v>
      </c>
      <c r="L41" s="15">
        <f>E41*(1+C110)+I41+J41*(1+C112)</f>
        <v>0</v>
      </c>
      <c r="M41" s="156">
        <f>E41*(1+C119)+I41+J41</f>
        <v>0</v>
      </c>
    </row>
    <row r="42" spans="1:13" x14ac:dyDescent="0.25">
      <c r="A42" s="369"/>
      <c r="B42" s="186" t="s">
        <v>199</v>
      </c>
      <c r="C42" s="14"/>
      <c r="D42" s="14"/>
      <c r="E42" s="15">
        <f>C42*C108+C109*D42</f>
        <v>0</v>
      </c>
      <c r="F42" s="86"/>
      <c r="G42" s="86"/>
      <c r="H42" s="87"/>
      <c r="I42" s="16"/>
      <c r="J42" s="17"/>
      <c r="K42" s="15">
        <f t="shared" si="2"/>
        <v>0</v>
      </c>
      <c r="L42" s="15">
        <f>E42*(1+C110)+I42+J42*(1+C112)</f>
        <v>0</v>
      </c>
      <c r="M42" s="156">
        <f>E42*(1+C119)+I42+J42</f>
        <v>0</v>
      </c>
    </row>
    <row r="43" spans="1:13" x14ac:dyDescent="0.25">
      <c r="A43" s="369"/>
      <c r="B43" s="186" t="s">
        <v>199</v>
      </c>
      <c r="C43" s="14"/>
      <c r="D43" s="14"/>
      <c r="E43" s="15">
        <f>C43*C108+C109*D43</f>
        <v>0</v>
      </c>
      <c r="F43" s="86"/>
      <c r="G43" s="86"/>
      <c r="H43" s="87"/>
      <c r="I43" s="16"/>
      <c r="J43" s="17"/>
      <c r="K43" s="15">
        <f t="shared" si="2"/>
        <v>0</v>
      </c>
      <c r="L43" s="15">
        <f>E43*(1+C110)+I43+J43*(1+C112)</f>
        <v>0</v>
      </c>
      <c r="M43" s="156">
        <f>E43*(1+C119)+I43+J43</f>
        <v>0</v>
      </c>
    </row>
    <row r="44" spans="1:13" x14ac:dyDescent="0.25">
      <c r="A44" s="369"/>
      <c r="B44" s="186" t="s">
        <v>199</v>
      </c>
      <c r="C44" s="14"/>
      <c r="D44" s="14"/>
      <c r="E44" s="15">
        <f>C44*C108+C109*D44</f>
        <v>0</v>
      </c>
      <c r="F44" s="86"/>
      <c r="G44" s="86"/>
      <c r="H44" s="87"/>
      <c r="I44" s="16"/>
      <c r="J44" s="17"/>
      <c r="K44" s="15">
        <f t="shared" si="2"/>
        <v>0</v>
      </c>
      <c r="L44" s="15">
        <f>E44*(1+C110)+I44+J44*(1+C112)</f>
        <v>0</v>
      </c>
      <c r="M44" s="156">
        <f>E44*(1+C119)+I44+J44</f>
        <v>0</v>
      </c>
    </row>
    <row r="45" spans="1:13" x14ac:dyDescent="0.25">
      <c r="A45" s="369"/>
      <c r="B45" s="7" t="s">
        <v>9</v>
      </c>
      <c r="C45" s="14"/>
      <c r="D45" s="14"/>
      <c r="E45" s="15">
        <f>C45*C108+C109*D45</f>
        <v>0</v>
      </c>
      <c r="F45" s="86"/>
      <c r="G45" s="86"/>
      <c r="H45" s="87"/>
      <c r="I45" s="16"/>
      <c r="J45" s="17"/>
      <c r="K45" s="15">
        <f t="shared" si="2"/>
        <v>0</v>
      </c>
      <c r="L45" s="15">
        <f>E45*(1+C110)+I45+J45*(1+C112)</f>
        <v>0</v>
      </c>
      <c r="M45" s="156">
        <f>E45*(1+C119)+I45+J45</f>
        <v>0</v>
      </c>
    </row>
    <row r="46" spans="1:13" x14ac:dyDescent="0.25">
      <c r="A46" s="371"/>
      <c r="B46" s="5" t="s">
        <v>10</v>
      </c>
      <c r="C46" s="219"/>
      <c r="D46" s="14"/>
      <c r="E46" s="15">
        <f>C46*C108+C109*D46</f>
        <v>0</v>
      </c>
      <c r="F46" s="86"/>
      <c r="G46" s="86"/>
      <c r="H46" s="87"/>
      <c r="I46" s="79"/>
      <c r="J46" s="78"/>
      <c r="K46" s="77">
        <f t="shared" si="2"/>
        <v>0</v>
      </c>
      <c r="L46" s="15">
        <f>E46*(1+C110)+I46+J46*(1+C112)</f>
        <v>0</v>
      </c>
      <c r="M46" s="156">
        <f>E46*(1+C119)+I46+J46</f>
        <v>0</v>
      </c>
    </row>
    <row r="47" spans="1:13" ht="15.75" thickBot="1" x14ac:dyDescent="0.3">
      <c r="A47" s="371"/>
      <c r="B47" s="222" t="s">
        <v>223</v>
      </c>
      <c r="C47" s="223"/>
      <c r="D47" s="224"/>
      <c r="E47" s="225">
        <f>C47*C108+C109*D47</f>
        <v>0</v>
      </c>
      <c r="F47" s="226"/>
      <c r="G47" s="226"/>
      <c r="H47" s="227"/>
      <c r="I47" s="228"/>
      <c r="J47" s="229"/>
      <c r="K47" s="225">
        <f t="shared" si="2"/>
        <v>0</v>
      </c>
      <c r="L47" s="225">
        <f>E47*(1+C110)+I47+J47*(1+C112)</f>
        <v>0</v>
      </c>
      <c r="M47" s="230">
        <f>E47*(1+C119)+I47+J47</f>
        <v>0</v>
      </c>
    </row>
    <row r="48" spans="1:13" ht="15.75" thickBot="1" x14ac:dyDescent="0.3">
      <c r="A48" s="371"/>
      <c r="B48" s="173" t="s">
        <v>26</v>
      </c>
      <c r="C48" s="172"/>
      <c r="D48" s="88"/>
      <c r="E48" s="89"/>
      <c r="F48" s="88"/>
      <c r="G48" s="88"/>
      <c r="H48" s="89"/>
      <c r="I48" s="220"/>
      <c r="J48" s="175"/>
      <c r="K48" s="221">
        <f t="shared" si="2"/>
        <v>0</v>
      </c>
      <c r="L48" s="77">
        <f>E48*(1+C110)+I48+J48*(1+C112)</f>
        <v>0</v>
      </c>
      <c r="M48" s="157">
        <f>E48*(1+C119)+I48+J48</f>
        <v>0</v>
      </c>
    </row>
    <row r="49" spans="1:13" ht="14.45" customHeight="1" thickBot="1" x14ac:dyDescent="0.3">
      <c r="A49" s="358" t="s">
        <v>15</v>
      </c>
      <c r="B49" s="400"/>
      <c r="C49" s="80">
        <f>SUM(C32:C48)</f>
        <v>0</v>
      </c>
      <c r="D49" s="80">
        <f>SUM(D32:D48)</f>
        <v>0</v>
      </c>
      <c r="E49" s="81">
        <f>SUM(E32:E46)</f>
        <v>0</v>
      </c>
      <c r="F49" s="90"/>
      <c r="G49" s="90"/>
      <c r="H49" s="91"/>
      <c r="I49" s="81">
        <f>SUM(I32:I46)</f>
        <v>0</v>
      </c>
      <c r="J49" s="174">
        <f>SUM(J32:J48)</f>
        <v>0</v>
      </c>
      <c r="K49" s="81">
        <f>SUM(K32:K48)</f>
        <v>0</v>
      </c>
      <c r="L49" s="81">
        <f>SUM(L32:L48)</f>
        <v>0</v>
      </c>
      <c r="M49" s="158">
        <f t="shared" ref="M49" si="3">SUM(M32:M48)</f>
        <v>0</v>
      </c>
    </row>
    <row r="50" spans="1:13" ht="29.45" customHeight="1" thickBot="1" x14ac:dyDescent="0.3">
      <c r="A50" s="361" t="s">
        <v>196</v>
      </c>
      <c r="B50" s="362"/>
      <c r="C50" s="362"/>
      <c r="D50" s="362"/>
      <c r="E50" s="362"/>
      <c r="F50" s="362"/>
      <c r="G50" s="362"/>
      <c r="H50" s="362"/>
      <c r="I50" s="325">
        <f>'Fiche de coûts'!I50</f>
        <v>1</v>
      </c>
      <c r="J50" s="361" t="s">
        <v>357</v>
      </c>
      <c r="K50" s="362"/>
      <c r="L50" s="179"/>
    </row>
    <row r="51" spans="1:13" ht="15.75" thickBot="1" x14ac:dyDescent="0.3">
      <c r="A51" s="358" t="s">
        <v>166</v>
      </c>
      <c r="B51" s="359"/>
      <c r="C51" s="80">
        <f>IF(I50=0,0,ROUND(C49/I50,0))</f>
        <v>0</v>
      </c>
      <c r="D51" s="80">
        <f>IF(I50=0,0,ROUND(D49/I50,0))</f>
        <v>0</v>
      </c>
      <c r="E51" s="81">
        <f>IF(I50=0,0,ROUND(E49/I50,0))</f>
        <v>0</v>
      </c>
      <c r="F51" s="90"/>
      <c r="G51" s="90"/>
      <c r="H51" s="91"/>
      <c r="I51" s="81">
        <f>IF(I50=0,0,ROUND(I49/I50,0))</f>
        <v>0</v>
      </c>
      <c r="J51" s="81">
        <f>IF(I50=0,0,ROUND(J49/I50,0))</f>
        <v>0</v>
      </c>
      <c r="K51" s="81">
        <f>IF(I50=0,0,ROUND(K49/I50,0))</f>
        <v>0</v>
      </c>
      <c r="L51" s="81">
        <f>IF(I50=0,0,ROUND(L49/I50,0))</f>
        <v>0</v>
      </c>
      <c r="M51" s="148">
        <f>IF(I50=0,0,ROUND(M49/I50,0))</f>
        <v>0</v>
      </c>
    </row>
    <row r="52" spans="1:13" ht="15.75" thickBot="1" x14ac:dyDescent="0.3">
      <c r="B52" s="124"/>
      <c r="C52" s="124"/>
      <c r="D52" s="124"/>
      <c r="E52" s="124"/>
      <c r="F52" s="363" t="s">
        <v>169</v>
      </c>
      <c r="G52" s="364"/>
      <c r="H52" s="365"/>
      <c r="I52" s="326">
        <f>'Fiche de coûts'!I52</f>
        <v>2</v>
      </c>
      <c r="J52" s="475" t="s">
        <v>357</v>
      </c>
      <c r="K52" s="476"/>
      <c r="L52" s="149"/>
    </row>
    <row r="53" spans="1:13" ht="15.75" thickBot="1" x14ac:dyDescent="0.3">
      <c r="A53" s="358" t="s">
        <v>170</v>
      </c>
      <c r="B53" s="359"/>
      <c r="C53" s="80">
        <f>ROUND(C51/I52,0)</f>
        <v>0</v>
      </c>
      <c r="D53" s="80">
        <f>ROUND(D51/I52,0)</f>
        <v>0</v>
      </c>
      <c r="E53" s="81">
        <f>ROUND(E51/I52,0)</f>
        <v>0</v>
      </c>
      <c r="F53" s="90"/>
      <c r="G53" s="90"/>
      <c r="H53" s="91"/>
      <c r="I53" s="81">
        <f>ROUND(I51/I52,0)</f>
        <v>0</v>
      </c>
      <c r="J53" s="81">
        <f>ROUND(J51/I52,0)</f>
        <v>0</v>
      </c>
      <c r="K53" s="81">
        <f>ROUND(K51/I52,0)</f>
        <v>0</v>
      </c>
      <c r="L53" s="81">
        <f>ROUND(L51/I52,0)</f>
        <v>0</v>
      </c>
      <c r="M53" s="148">
        <f>ROUND(M51/I52,0)</f>
        <v>0</v>
      </c>
    </row>
    <row r="54" spans="1:13" ht="15.75" thickBot="1" x14ac:dyDescent="0.3"/>
    <row r="55" spans="1:13" ht="15.75" thickBot="1" x14ac:dyDescent="0.3">
      <c r="A55" s="372" t="s">
        <v>168</v>
      </c>
      <c r="B55" s="373"/>
      <c r="C55" s="373"/>
      <c r="D55" s="373"/>
      <c r="E55" s="373"/>
      <c r="F55" s="373"/>
      <c r="G55" s="373"/>
      <c r="H55" s="373"/>
      <c r="I55" s="373"/>
      <c r="J55" s="373"/>
      <c r="K55" s="373"/>
      <c r="L55" s="373"/>
      <c r="M55" s="374"/>
    </row>
    <row r="56" spans="1:13" x14ac:dyDescent="0.25">
      <c r="A56" s="369" t="s">
        <v>32</v>
      </c>
      <c r="B56" s="138" t="s">
        <v>33</v>
      </c>
      <c r="C56" s="139"/>
      <c r="D56" s="139"/>
      <c r="E56" s="140">
        <f>C56*C108+C109*D56</f>
        <v>0</v>
      </c>
      <c r="F56" s="141"/>
      <c r="G56" s="141"/>
      <c r="H56" s="142"/>
      <c r="I56" s="143"/>
      <c r="J56" s="144"/>
      <c r="K56" s="140">
        <f>SUM(E56:J56)-F56-G56</f>
        <v>0</v>
      </c>
      <c r="L56" s="150">
        <f>E56*(1+C110)+I56+J56*(1+C112)</f>
        <v>0</v>
      </c>
      <c r="M56" s="159">
        <f>E56*(1+C119)+I56+J56</f>
        <v>0</v>
      </c>
    </row>
    <row r="57" spans="1:13" x14ac:dyDescent="0.25">
      <c r="A57" s="369"/>
      <c r="B57" s="5" t="s">
        <v>34</v>
      </c>
      <c r="C57" s="14"/>
      <c r="D57" s="14"/>
      <c r="E57" s="15">
        <f>C57*C108+C109*D57</f>
        <v>0</v>
      </c>
      <c r="F57" s="86"/>
      <c r="G57" s="86"/>
      <c r="H57" s="87"/>
      <c r="I57" s="16"/>
      <c r="J57" s="17"/>
      <c r="K57" s="15">
        <f t="shared" ref="K57:K96" si="4">SUM(E57:J57)-F57-G57</f>
        <v>0</v>
      </c>
      <c r="L57" s="77">
        <f>E57*(1+C110)+I57+J57*(1+C112)</f>
        <v>0</v>
      </c>
      <c r="M57" s="156">
        <f>E57*(1+C119)+I57+J57</f>
        <v>0</v>
      </c>
    </row>
    <row r="58" spans="1:13" x14ac:dyDescent="0.25">
      <c r="A58" s="369"/>
      <c r="B58" s="5" t="s">
        <v>35</v>
      </c>
      <c r="C58" s="14"/>
      <c r="D58" s="14"/>
      <c r="E58" s="15">
        <f>C58*C108+C109*D58</f>
        <v>0</v>
      </c>
      <c r="F58" s="86"/>
      <c r="G58" s="86"/>
      <c r="H58" s="87"/>
      <c r="I58" s="16"/>
      <c r="J58" s="17"/>
      <c r="K58" s="15">
        <f t="shared" si="4"/>
        <v>0</v>
      </c>
      <c r="L58" s="77">
        <f>E58*(1+C110)+I58+J58*(1+C112)</f>
        <v>0</v>
      </c>
      <c r="M58" s="156">
        <f>E58*(1+C119)+I58+J58</f>
        <v>0</v>
      </c>
    </row>
    <row r="59" spans="1:13" x14ac:dyDescent="0.25">
      <c r="A59" s="369"/>
      <c r="B59" s="5" t="s">
        <v>36</v>
      </c>
      <c r="C59" s="14"/>
      <c r="D59" s="14"/>
      <c r="E59" s="15">
        <f>C59*C108+C109*D59</f>
        <v>0</v>
      </c>
      <c r="F59" s="86"/>
      <c r="G59" s="86"/>
      <c r="H59" s="87"/>
      <c r="I59" s="16"/>
      <c r="J59" s="17"/>
      <c r="K59" s="15">
        <f t="shared" si="4"/>
        <v>0</v>
      </c>
      <c r="L59" s="77">
        <f>E59*(1+C110)+I59+J59*(1+C112)</f>
        <v>0</v>
      </c>
      <c r="M59" s="156">
        <f>E59*(1+C119)+I59+J59</f>
        <v>0</v>
      </c>
    </row>
    <row r="60" spans="1:13" x14ac:dyDescent="0.25">
      <c r="A60" s="369"/>
      <c r="B60" s="5" t="s">
        <v>37</v>
      </c>
      <c r="C60" s="14"/>
      <c r="D60" s="14"/>
      <c r="E60" s="15">
        <f>C60*C108+C109*D60</f>
        <v>0</v>
      </c>
      <c r="F60" s="86"/>
      <c r="G60" s="86"/>
      <c r="H60" s="87"/>
      <c r="I60" s="16"/>
      <c r="J60" s="17"/>
      <c r="K60" s="15">
        <f t="shared" si="4"/>
        <v>0</v>
      </c>
      <c r="L60" s="77">
        <f>E60*(1+C110)+I60+J60*(1+C112)</f>
        <v>0</v>
      </c>
      <c r="M60" s="156">
        <f>E60*(1+C119)+I60+J60</f>
        <v>0</v>
      </c>
    </row>
    <row r="61" spans="1:13" x14ac:dyDescent="0.25">
      <c r="A61" s="367"/>
      <c r="B61" s="6" t="s">
        <v>38</v>
      </c>
      <c r="C61" s="14"/>
      <c r="D61" s="14"/>
      <c r="E61" s="15">
        <f>C61*C108+C109*D61</f>
        <v>0</v>
      </c>
      <c r="F61" s="86"/>
      <c r="G61" s="86"/>
      <c r="H61" s="87"/>
      <c r="I61" s="16"/>
      <c r="J61" s="17"/>
      <c r="K61" s="15">
        <f>SUM(E61:J61)-F61-G61</f>
        <v>0</v>
      </c>
      <c r="L61" s="77">
        <f>E61*(1+C110)+I61+J61*(1+C112)</f>
        <v>0</v>
      </c>
      <c r="M61" s="156">
        <f>E61*(1+C119)+I61+J61</f>
        <v>0</v>
      </c>
    </row>
    <row r="62" spans="1:13" x14ac:dyDescent="0.25">
      <c r="A62" s="375" t="s">
        <v>201</v>
      </c>
      <c r="B62" s="186" t="s">
        <v>202</v>
      </c>
      <c r="C62" s="14"/>
      <c r="D62" s="14"/>
      <c r="E62" s="15">
        <f>C62*C108+C109*D62</f>
        <v>0</v>
      </c>
      <c r="F62" s="86"/>
      <c r="G62" s="86"/>
      <c r="H62" s="87"/>
      <c r="I62" s="16"/>
      <c r="J62" s="17"/>
      <c r="K62" s="15">
        <f t="shared" ref="K62:K66" si="5">SUM(E62:J62)-F62-G62</f>
        <v>0</v>
      </c>
      <c r="L62" s="77">
        <f>E62*(1+C110)+I62+J62*(1+C112)</f>
        <v>0</v>
      </c>
      <c r="M62" s="156">
        <f>E62*(1+C119)+I62+J62</f>
        <v>0</v>
      </c>
    </row>
    <row r="63" spans="1:13" x14ac:dyDescent="0.25">
      <c r="A63" s="376"/>
      <c r="B63" s="186" t="s">
        <v>202</v>
      </c>
      <c r="C63" s="14"/>
      <c r="D63" s="14"/>
      <c r="E63" s="15">
        <f>C63*C108+C109*D63</f>
        <v>0</v>
      </c>
      <c r="F63" s="86"/>
      <c r="G63" s="86"/>
      <c r="H63" s="87"/>
      <c r="I63" s="16"/>
      <c r="J63" s="17"/>
      <c r="K63" s="15">
        <f t="shared" si="5"/>
        <v>0</v>
      </c>
      <c r="L63" s="77">
        <f>E63*(1+C110)+I63+J63*(1+C112)</f>
        <v>0</v>
      </c>
      <c r="M63" s="156">
        <f>E63*(1+C119)+I63+J63</f>
        <v>0</v>
      </c>
    </row>
    <row r="64" spans="1:13" x14ac:dyDescent="0.25">
      <c r="A64" s="376"/>
      <c r="B64" s="186" t="s">
        <v>202</v>
      </c>
      <c r="C64" s="14"/>
      <c r="D64" s="14"/>
      <c r="E64" s="15">
        <f>C64*C108+C109*D64</f>
        <v>0</v>
      </c>
      <c r="F64" s="86"/>
      <c r="G64" s="86"/>
      <c r="H64" s="87"/>
      <c r="I64" s="16"/>
      <c r="J64" s="17"/>
      <c r="K64" s="15">
        <f t="shared" si="5"/>
        <v>0</v>
      </c>
      <c r="L64" s="77">
        <f>E64*(1+C110)+I64+J64*(1+C112)</f>
        <v>0</v>
      </c>
      <c r="M64" s="156">
        <f>E64*(1+C119)+I64+J64</f>
        <v>0</v>
      </c>
    </row>
    <row r="65" spans="1:13" x14ac:dyDescent="0.25">
      <c r="A65" s="376"/>
      <c r="B65" s="186" t="s">
        <v>202</v>
      </c>
      <c r="C65" s="14"/>
      <c r="D65" s="14"/>
      <c r="E65" s="15">
        <f>C65*C108+C109*D65</f>
        <v>0</v>
      </c>
      <c r="F65" s="86"/>
      <c r="G65" s="86"/>
      <c r="H65" s="87"/>
      <c r="I65" s="16"/>
      <c r="J65" s="17"/>
      <c r="K65" s="15">
        <f t="shared" si="5"/>
        <v>0</v>
      </c>
      <c r="L65" s="77">
        <f>E65*(1+C110)+I65+J65*(1+C112)</f>
        <v>0</v>
      </c>
      <c r="M65" s="156">
        <f>E65*(1+C119)+I65+J65</f>
        <v>0</v>
      </c>
    </row>
    <row r="66" spans="1:13" x14ac:dyDescent="0.25">
      <c r="A66" s="377"/>
      <c r="B66" s="186" t="s">
        <v>202</v>
      </c>
      <c r="C66" s="14"/>
      <c r="D66" s="14"/>
      <c r="E66" s="15">
        <f>C66*C108+C109*D66</f>
        <v>0</v>
      </c>
      <c r="F66" s="86"/>
      <c r="G66" s="86"/>
      <c r="H66" s="87"/>
      <c r="I66" s="16"/>
      <c r="J66" s="17"/>
      <c r="K66" s="15">
        <f t="shared" si="5"/>
        <v>0</v>
      </c>
      <c r="L66" s="77">
        <f>E66*(1+C110)+I66+J66*(1+C112)</f>
        <v>0</v>
      </c>
      <c r="M66" s="156">
        <f>E66*(1+C119)+I66+J66</f>
        <v>0</v>
      </c>
    </row>
    <row r="67" spans="1:13" x14ac:dyDescent="0.25">
      <c r="A67" s="366" t="s">
        <v>39</v>
      </c>
      <c r="B67" s="7" t="s">
        <v>40</v>
      </c>
      <c r="C67" s="14"/>
      <c r="D67" s="14"/>
      <c r="E67" s="15">
        <f>C67*C108+C109*D67</f>
        <v>0</v>
      </c>
      <c r="F67" s="17"/>
      <c r="G67" s="17"/>
      <c r="H67" s="15">
        <f>F67*C116+C113*G67</f>
        <v>0</v>
      </c>
      <c r="I67" s="16"/>
      <c r="J67" s="17"/>
      <c r="K67" s="15">
        <f t="shared" si="4"/>
        <v>0</v>
      </c>
      <c r="L67" s="77">
        <f>E67*(1+C110)+H67*(1+C111)+I67+J67*(1+C112)</f>
        <v>0</v>
      </c>
      <c r="M67" s="156">
        <f>E67*(1+C119)+H67*(1+C119)+I67+J67</f>
        <v>0</v>
      </c>
    </row>
    <row r="68" spans="1:13" x14ac:dyDescent="0.25">
      <c r="A68" s="369"/>
      <c r="B68" s="7" t="s">
        <v>41</v>
      </c>
      <c r="C68" s="14"/>
      <c r="D68" s="14"/>
      <c r="E68" s="15">
        <f>C68*C108+C109*D68</f>
        <v>0</v>
      </c>
      <c r="F68" s="17"/>
      <c r="G68" s="17"/>
      <c r="H68" s="15">
        <f>F68*C117+C114*G68</f>
        <v>0</v>
      </c>
      <c r="I68" s="16"/>
      <c r="J68" s="17"/>
      <c r="K68" s="15">
        <f t="shared" si="4"/>
        <v>0</v>
      </c>
      <c r="L68" s="77">
        <f>E68*(1+C110)+H68*(1+C111)+I68+J68*(1+C112)</f>
        <v>0</v>
      </c>
      <c r="M68" s="156">
        <f>E68*(1+C119)+H68*(1+C119)+I68+J68</f>
        <v>0</v>
      </c>
    </row>
    <row r="69" spans="1:13" x14ac:dyDescent="0.25">
      <c r="A69" s="369"/>
      <c r="B69" s="7" t="s">
        <v>42</v>
      </c>
      <c r="C69" s="14"/>
      <c r="D69" s="14"/>
      <c r="E69" s="15">
        <f>C69*C108+C109*D69</f>
        <v>0</v>
      </c>
      <c r="F69" s="17"/>
      <c r="G69" s="17"/>
      <c r="H69" s="15">
        <f>F69*C118+C115*G69</f>
        <v>0</v>
      </c>
      <c r="I69" s="16"/>
      <c r="J69" s="17"/>
      <c r="K69" s="15">
        <f t="shared" si="4"/>
        <v>0</v>
      </c>
      <c r="L69" s="77">
        <f>E69*(1+C110)+H69*(1+C111)+I69+J69*(1+C112)</f>
        <v>0</v>
      </c>
      <c r="M69" s="156">
        <f>E69*(1+C119)+H69*(1+C119)+I69+J69</f>
        <v>0</v>
      </c>
    </row>
    <row r="70" spans="1:13" ht="15.75" thickBot="1" x14ac:dyDescent="0.3">
      <c r="A70" s="369"/>
      <c r="B70" s="170" t="s">
        <v>43</v>
      </c>
      <c r="C70" s="14"/>
      <c r="D70" s="14"/>
      <c r="E70" s="15">
        <f>C70*C108+C109*D70</f>
        <v>0</v>
      </c>
      <c r="F70" s="87"/>
      <c r="G70" s="87"/>
      <c r="H70" s="92"/>
      <c r="I70" s="16"/>
      <c r="J70" s="78"/>
      <c r="K70" s="15">
        <f t="shared" si="4"/>
        <v>0</v>
      </c>
      <c r="L70" s="77">
        <f>E70*(1+C110)+I70+J70*(1+C112)</f>
        <v>0</v>
      </c>
      <c r="M70" s="156">
        <f>E70*(1+C119)+I70+J70</f>
        <v>0</v>
      </c>
    </row>
    <row r="71" spans="1:13" ht="16.5" thickTop="1" thickBot="1" x14ac:dyDescent="0.3">
      <c r="A71" s="389"/>
      <c r="B71" s="171" t="s">
        <v>193</v>
      </c>
      <c r="C71" s="169"/>
      <c r="D71" s="86"/>
      <c r="E71" s="87"/>
      <c r="F71" s="87"/>
      <c r="G71" s="87"/>
      <c r="H71" s="92"/>
      <c r="I71" s="176"/>
      <c r="J71" s="168"/>
      <c r="K71" s="167">
        <f t="shared" si="4"/>
        <v>0</v>
      </c>
      <c r="L71" s="77">
        <f>E71*(1+C110)+I71+J71*(1+C112)</f>
        <v>0</v>
      </c>
      <c r="M71" s="156">
        <f>E71*(1+C119)+I71+J71</f>
        <v>0</v>
      </c>
    </row>
    <row r="72" spans="1:13" ht="15.75" thickTop="1" x14ac:dyDescent="0.25">
      <c r="A72" s="366" t="s">
        <v>55</v>
      </c>
      <c r="B72" s="138" t="s">
        <v>56</v>
      </c>
      <c r="C72" s="36"/>
      <c r="D72" s="36"/>
      <c r="E72" s="15">
        <f>C72*C108+C109*D72</f>
        <v>0</v>
      </c>
      <c r="F72" s="87"/>
      <c r="G72" s="87"/>
      <c r="H72" s="92"/>
      <c r="I72" s="16"/>
      <c r="J72" s="144"/>
      <c r="K72" s="15">
        <f t="shared" si="4"/>
        <v>0</v>
      </c>
      <c r="L72" s="77">
        <f>E72*(1+C110)+I72+J72*(1+C112)</f>
        <v>0</v>
      </c>
      <c r="M72" s="156">
        <f>E72*(1+C119)+I72+J72</f>
        <v>0</v>
      </c>
    </row>
    <row r="73" spans="1:13" x14ac:dyDescent="0.25">
      <c r="A73" s="367"/>
      <c r="B73" s="5" t="s">
        <v>57</v>
      </c>
      <c r="C73" s="36"/>
      <c r="D73" s="36"/>
      <c r="E73" s="15">
        <f>C73*C108+C109*D73</f>
        <v>0</v>
      </c>
      <c r="F73" s="87"/>
      <c r="G73" s="87"/>
      <c r="H73" s="92"/>
      <c r="I73" s="16"/>
      <c r="J73" s="17"/>
      <c r="K73" s="15">
        <f t="shared" si="4"/>
        <v>0</v>
      </c>
      <c r="L73" s="77">
        <f>E73*(1+C110)+I73+J73*(1+C112)</f>
        <v>0</v>
      </c>
      <c r="M73" s="156">
        <f>E73*(1+C119)+I73+J73</f>
        <v>0</v>
      </c>
    </row>
    <row r="74" spans="1:13" x14ac:dyDescent="0.25">
      <c r="A74" s="366" t="s">
        <v>58</v>
      </c>
      <c r="B74" s="5" t="s">
        <v>60</v>
      </c>
      <c r="C74" s="36"/>
      <c r="D74" s="36"/>
      <c r="E74" s="15">
        <f>C74*C108+C109*D74</f>
        <v>0</v>
      </c>
      <c r="F74" s="87"/>
      <c r="G74" s="87"/>
      <c r="H74" s="92"/>
      <c r="I74" s="16"/>
      <c r="J74" s="17"/>
      <c r="K74" s="15">
        <f t="shared" si="4"/>
        <v>0</v>
      </c>
      <c r="L74" s="77">
        <f>E74*(1+C110)+I74+J74*(1+C112)</f>
        <v>0</v>
      </c>
      <c r="M74" s="156">
        <f>E74*(1+C119)+I74+J74</f>
        <v>0</v>
      </c>
    </row>
    <row r="75" spans="1:13" x14ac:dyDescent="0.25">
      <c r="A75" s="367"/>
      <c r="B75" s="5" t="s">
        <v>59</v>
      </c>
      <c r="C75" s="36"/>
      <c r="D75" s="36"/>
      <c r="E75" s="15">
        <f>C75*C108+C109*D75</f>
        <v>0</v>
      </c>
      <c r="F75" s="87"/>
      <c r="G75" s="87"/>
      <c r="H75" s="92"/>
      <c r="I75" s="16"/>
      <c r="J75" s="17"/>
      <c r="K75" s="15">
        <f t="shared" si="4"/>
        <v>0</v>
      </c>
      <c r="L75" s="77">
        <f>E75*(1+C110)+I75+J75*(1+C112)</f>
        <v>0</v>
      </c>
      <c r="M75" s="156">
        <f>E75*(1+C119)+I75+J75</f>
        <v>0</v>
      </c>
    </row>
    <row r="76" spans="1:13" ht="30" x14ac:dyDescent="0.25">
      <c r="A76" s="274" t="s">
        <v>133</v>
      </c>
      <c r="B76" s="7" t="s">
        <v>134</v>
      </c>
      <c r="C76" s="86"/>
      <c r="D76" s="86"/>
      <c r="E76" s="87"/>
      <c r="F76" s="87"/>
      <c r="G76" s="87"/>
      <c r="H76" s="92"/>
      <c r="I76" s="17"/>
      <c r="J76" s="15">
        <f>'Coûts installations part1'!D10</f>
        <v>0</v>
      </c>
      <c r="K76" s="15">
        <f t="shared" si="4"/>
        <v>0</v>
      </c>
      <c r="L76" s="77">
        <f>E76*(1+C110)+I76+J76*(1+C112)</f>
        <v>0</v>
      </c>
      <c r="M76" s="156">
        <f>E76*(1+C119)+I76+J76</f>
        <v>0</v>
      </c>
    </row>
    <row r="77" spans="1:13" x14ac:dyDescent="0.25">
      <c r="A77" s="276"/>
      <c r="B77" s="5" t="s">
        <v>67</v>
      </c>
      <c r="C77" s="86"/>
      <c r="D77" s="86"/>
      <c r="E77" s="87"/>
      <c r="F77" s="87"/>
      <c r="G77" s="87"/>
      <c r="H77" s="92"/>
      <c r="I77" s="17"/>
      <c r="J77" s="17"/>
      <c r="K77" s="15">
        <f t="shared" si="4"/>
        <v>0</v>
      </c>
      <c r="L77" s="77">
        <f>E77*(1+C110)+I77+J77*(1+C112)</f>
        <v>0</v>
      </c>
      <c r="M77" s="156">
        <f>E77*(1+C119)+I77+J77</f>
        <v>0</v>
      </c>
    </row>
    <row r="78" spans="1:13" ht="30" x14ac:dyDescent="0.25">
      <c r="A78" s="276"/>
      <c r="B78" s="7" t="s">
        <v>135</v>
      </c>
      <c r="C78" s="86"/>
      <c r="D78" s="86"/>
      <c r="E78" s="87"/>
      <c r="F78" s="87"/>
      <c r="G78" s="87"/>
      <c r="H78" s="92"/>
      <c r="I78" s="17"/>
      <c r="J78" s="15">
        <f>'Coûts installations part1'!D13</f>
        <v>0</v>
      </c>
      <c r="K78" s="15">
        <f t="shared" si="4"/>
        <v>0</v>
      </c>
      <c r="L78" s="77">
        <f>E78*(1+C110)+I78+J78*(1+C112)</f>
        <v>0</v>
      </c>
      <c r="M78" s="156">
        <f>E78*(1+C119)+I78+J78</f>
        <v>0</v>
      </c>
    </row>
    <row r="79" spans="1:13" x14ac:dyDescent="0.25">
      <c r="A79" s="275"/>
      <c r="B79" s="5" t="s">
        <v>126</v>
      </c>
      <c r="C79" s="86"/>
      <c r="D79" s="86"/>
      <c r="E79" s="87"/>
      <c r="F79" s="87"/>
      <c r="G79" s="87"/>
      <c r="H79" s="92"/>
      <c r="I79" s="17"/>
      <c r="J79" s="17"/>
      <c r="K79" s="15">
        <f t="shared" si="4"/>
        <v>0</v>
      </c>
      <c r="L79" s="77">
        <f>E79*(1+C110)+I79+J79*(1+C112)</f>
        <v>0</v>
      </c>
      <c r="M79" s="156">
        <f>E79*(1+C119)+I79+J79</f>
        <v>0</v>
      </c>
    </row>
    <row r="80" spans="1:13" x14ac:dyDescent="0.25">
      <c r="A80" s="366" t="s">
        <v>142</v>
      </c>
      <c r="B80" s="5" t="s">
        <v>139</v>
      </c>
      <c r="C80" s="86"/>
      <c r="D80" s="86"/>
      <c r="E80" s="87"/>
      <c r="F80" s="87"/>
      <c r="G80" s="87"/>
      <c r="H80" s="92"/>
      <c r="I80" s="16"/>
      <c r="J80" s="15">
        <f>'Coûts frais variables part1'!E12</f>
        <v>0</v>
      </c>
      <c r="K80" s="15">
        <f t="shared" si="4"/>
        <v>0</v>
      </c>
      <c r="L80" s="77">
        <f>E80*(1+C110)+I80+J80*(1+C112)</f>
        <v>0</v>
      </c>
      <c r="M80" s="156">
        <f>E80*(1+C119)+I80+J80</f>
        <v>0</v>
      </c>
    </row>
    <row r="81" spans="1:13" x14ac:dyDescent="0.25">
      <c r="A81" s="369"/>
      <c r="B81" s="5" t="s">
        <v>127</v>
      </c>
      <c r="C81" s="86"/>
      <c r="D81" s="86"/>
      <c r="E81" s="87"/>
      <c r="F81" s="87"/>
      <c r="G81" s="87"/>
      <c r="H81" s="92"/>
      <c r="I81" s="16"/>
      <c r="J81" s="15">
        <f>'Coûts frais variables part1'!E13</f>
        <v>0</v>
      </c>
      <c r="K81" s="15">
        <f t="shared" si="4"/>
        <v>0</v>
      </c>
      <c r="L81" s="77">
        <f>E81*(1+C110)+I81+J81*(1+C112)</f>
        <v>0</v>
      </c>
      <c r="M81" s="156">
        <f>E81*(1+C119)+I81+J81</f>
        <v>0</v>
      </c>
    </row>
    <row r="82" spans="1:13" x14ac:dyDescent="0.25">
      <c r="A82" s="369"/>
      <c r="B82" s="5" t="s">
        <v>136</v>
      </c>
      <c r="C82" s="86"/>
      <c r="D82" s="86"/>
      <c r="E82" s="87"/>
      <c r="F82" s="87"/>
      <c r="G82" s="87"/>
      <c r="H82" s="92"/>
      <c r="I82" s="16"/>
      <c r="J82" s="15">
        <f>'Coûts frais variables part1'!E14</f>
        <v>0</v>
      </c>
      <c r="K82" s="15">
        <f t="shared" si="4"/>
        <v>0</v>
      </c>
      <c r="L82" s="77">
        <f>E82*(1+C110)+I82+J82*(1+C112)</f>
        <v>0</v>
      </c>
      <c r="M82" s="156">
        <f>E82*(1+C119)+I82+J82</f>
        <v>0</v>
      </c>
    </row>
    <row r="83" spans="1:13" x14ac:dyDescent="0.25">
      <c r="A83" s="369"/>
      <c r="B83" s="6" t="s">
        <v>141</v>
      </c>
      <c r="C83" s="86"/>
      <c r="D83" s="86"/>
      <c r="E83" s="87"/>
      <c r="F83" s="87"/>
      <c r="G83" s="87"/>
      <c r="H83" s="92"/>
      <c r="I83" s="16"/>
      <c r="J83" s="15">
        <f>'Coûts frais variables part1'!E15</f>
        <v>0</v>
      </c>
      <c r="K83" s="15">
        <f t="shared" si="4"/>
        <v>0</v>
      </c>
      <c r="L83" s="77">
        <f>E83*(1+C110)+I83+J83*(1+C112)</f>
        <v>0</v>
      </c>
      <c r="M83" s="156">
        <f>E83*(1+C119)+I83+J83</f>
        <v>0</v>
      </c>
    </row>
    <row r="84" spans="1:13" x14ac:dyDescent="0.25">
      <c r="A84" s="369"/>
      <c r="B84" s="6" t="s">
        <v>140</v>
      </c>
      <c r="C84" s="86"/>
      <c r="D84" s="86"/>
      <c r="E84" s="87"/>
      <c r="F84" s="87"/>
      <c r="G84" s="87"/>
      <c r="H84" s="92"/>
      <c r="I84" s="16"/>
      <c r="J84" s="130">
        <f>'Coûts frais variables part1'!E8</f>
        <v>0</v>
      </c>
      <c r="K84" s="15">
        <f t="shared" si="4"/>
        <v>0</v>
      </c>
      <c r="L84" s="77">
        <f>E84*(1+C110)+I84+J84*(1+C112)</f>
        <v>0</v>
      </c>
      <c r="M84" s="156">
        <f>E84*(1+C119)+I84+J84</f>
        <v>0</v>
      </c>
    </row>
    <row r="85" spans="1:13" x14ac:dyDescent="0.25">
      <c r="A85" s="369"/>
      <c r="B85" s="185" t="str">
        <f>'Coûts frais variables part1'!A16</f>
        <v>Libellé libre frais variable à saisir si besoin (onglet frais var)</v>
      </c>
      <c r="C85" s="86"/>
      <c r="D85" s="86"/>
      <c r="E85" s="87"/>
      <c r="F85" s="87"/>
      <c r="G85" s="87"/>
      <c r="H85" s="92"/>
      <c r="I85" s="16"/>
      <c r="J85" s="130">
        <f>'Coûts frais variables part1'!E16</f>
        <v>0</v>
      </c>
      <c r="K85" s="15">
        <f t="shared" si="4"/>
        <v>0</v>
      </c>
      <c r="L85" s="77">
        <f>E85*(1+C110)+I85+J85*(1+C112)</f>
        <v>0</v>
      </c>
      <c r="M85" s="156">
        <f>E85*(1+C119)+I85+J85</f>
        <v>0</v>
      </c>
    </row>
    <row r="86" spans="1:13" x14ac:dyDescent="0.25">
      <c r="A86" s="369"/>
      <c r="B86" s="185" t="str">
        <f>'Coûts frais variables part1'!A17</f>
        <v>Libellé libre frais variable à saisir si besoin (onglet frais var)</v>
      </c>
      <c r="C86" s="86"/>
      <c r="D86" s="86"/>
      <c r="E86" s="87"/>
      <c r="F86" s="87"/>
      <c r="G86" s="87"/>
      <c r="H86" s="92"/>
      <c r="I86" s="16"/>
      <c r="J86" s="130">
        <f>'Coûts frais variables part1'!E17</f>
        <v>0</v>
      </c>
      <c r="K86" s="15">
        <f t="shared" si="4"/>
        <v>0</v>
      </c>
      <c r="L86" s="77">
        <f>E86*(1+C110)+I86+J86*(1+C112)</f>
        <v>0</v>
      </c>
      <c r="M86" s="156">
        <f>E86*(1+C119)+I86+J86</f>
        <v>0</v>
      </c>
    </row>
    <row r="87" spans="1:13" x14ac:dyDescent="0.25">
      <c r="A87" s="369"/>
      <c r="B87" s="185" t="str">
        <f>'Coûts frais variables part1'!A18</f>
        <v>Libellé libre frais variable à saisir si besoin (onglet frais var)</v>
      </c>
      <c r="C87" s="86"/>
      <c r="D87" s="86"/>
      <c r="E87" s="87"/>
      <c r="F87" s="87"/>
      <c r="G87" s="87"/>
      <c r="H87" s="92"/>
      <c r="I87" s="16"/>
      <c r="J87" s="130">
        <f>'Coûts frais variables part1'!E18</f>
        <v>0</v>
      </c>
      <c r="K87" s="15">
        <f t="shared" si="4"/>
        <v>0</v>
      </c>
      <c r="L87" s="77">
        <f>E87*(1+C110)+I87+J87*(1+C112)</f>
        <v>0</v>
      </c>
      <c r="M87" s="156">
        <f>E87*(1+C119)+I87+J87</f>
        <v>0</v>
      </c>
    </row>
    <row r="88" spans="1:13" x14ac:dyDescent="0.25">
      <c r="A88" s="369"/>
      <c r="B88" s="185" t="str">
        <f>'Coûts frais variables part1'!A19</f>
        <v>Libellé libre frais variable à saisir si besoin (onglet frais var)</v>
      </c>
      <c r="C88" s="86"/>
      <c r="D88" s="86"/>
      <c r="E88" s="87"/>
      <c r="F88" s="87"/>
      <c r="G88" s="87"/>
      <c r="H88" s="92"/>
      <c r="I88" s="16"/>
      <c r="J88" s="130">
        <f>'Coûts frais variables part1'!E19</f>
        <v>0</v>
      </c>
      <c r="K88" s="15">
        <f t="shared" si="4"/>
        <v>0</v>
      </c>
      <c r="L88" s="77">
        <f>E88*(1+C110)+I88+J88*(1+C112)</f>
        <v>0</v>
      </c>
      <c r="M88" s="156">
        <f>E88*(1+C119)+I88+J88</f>
        <v>0</v>
      </c>
    </row>
    <row r="89" spans="1:13" x14ac:dyDescent="0.25">
      <c r="A89" s="366" t="s">
        <v>164</v>
      </c>
      <c r="B89" s="5" t="s">
        <v>156</v>
      </c>
      <c r="C89" s="14"/>
      <c r="D89" s="14"/>
      <c r="E89" s="15">
        <f>C89*C108+C109*D89</f>
        <v>0</v>
      </c>
      <c r="F89" s="87"/>
      <c r="G89" s="87"/>
      <c r="H89" s="92"/>
      <c r="I89" s="16"/>
      <c r="J89" s="17"/>
      <c r="K89" s="15">
        <f t="shared" si="4"/>
        <v>0</v>
      </c>
      <c r="L89" s="77">
        <f>E89*(1+C110)+I89+J89*(1+C112)</f>
        <v>0</v>
      </c>
      <c r="M89" s="156">
        <f>E89*(1+C119)+I89+J89</f>
        <v>0</v>
      </c>
    </row>
    <row r="90" spans="1:13" x14ac:dyDescent="0.25">
      <c r="A90" s="369"/>
      <c r="B90" s="8" t="s">
        <v>163</v>
      </c>
      <c r="C90" s="14"/>
      <c r="D90" s="14"/>
      <c r="E90" s="15">
        <f>C90*C108+C109*D90</f>
        <v>0</v>
      </c>
      <c r="F90" s="87"/>
      <c r="G90" s="87"/>
      <c r="H90" s="92"/>
      <c r="I90" s="16"/>
      <c r="J90" s="17"/>
      <c r="K90" s="15">
        <f t="shared" si="4"/>
        <v>0</v>
      </c>
      <c r="L90" s="77">
        <f>E90*(1+C110)+I90+J90*(1+C112)</f>
        <v>0</v>
      </c>
      <c r="M90" s="156">
        <f>E90*(1+C119)+I90+J90</f>
        <v>0</v>
      </c>
    </row>
    <row r="91" spans="1:13" x14ac:dyDescent="0.25">
      <c r="A91" s="369"/>
      <c r="B91" s="8" t="s">
        <v>157</v>
      </c>
      <c r="C91" s="14"/>
      <c r="D91" s="14"/>
      <c r="E91" s="15">
        <f>C91*C108+C109*D91</f>
        <v>0</v>
      </c>
      <c r="F91" s="87"/>
      <c r="G91" s="87"/>
      <c r="H91" s="92"/>
      <c r="I91" s="16"/>
      <c r="J91" s="17"/>
      <c r="K91" s="15">
        <f t="shared" si="4"/>
        <v>0</v>
      </c>
      <c r="L91" s="77">
        <f>E91*(1+C110)+I91+J91*(1+C112)</f>
        <v>0</v>
      </c>
      <c r="M91" s="156">
        <f>E91*(1+C119)+I91+J91</f>
        <v>0</v>
      </c>
    </row>
    <row r="92" spans="1:13" x14ac:dyDescent="0.25">
      <c r="A92" s="369"/>
      <c r="B92" s="8" t="s">
        <v>158</v>
      </c>
      <c r="C92" s="14"/>
      <c r="D92" s="14"/>
      <c r="E92" s="15">
        <f>C92*C108+C109*D92</f>
        <v>0</v>
      </c>
      <c r="F92" s="87"/>
      <c r="G92" s="87"/>
      <c r="H92" s="92"/>
      <c r="I92" s="16"/>
      <c r="J92" s="17"/>
      <c r="K92" s="15">
        <f t="shared" si="4"/>
        <v>0</v>
      </c>
      <c r="L92" s="77">
        <f>E92*(1+C110)+I92+J92*(1+C112)</f>
        <v>0</v>
      </c>
      <c r="M92" s="156">
        <f>E92*(1+C119)+I92+J92</f>
        <v>0</v>
      </c>
    </row>
    <row r="93" spans="1:13" x14ac:dyDescent="0.25">
      <c r="A93" s="369"/>
      <c r="B93" s="5" t="s">
        <v>159</v>
      </c>
      <c r="C93" s="14"/>
      <c r="D93" s="14"/>
      <c r="E93" s="15">
        <f>C93*C108+C109*D93</f>
        <v>0</v>
      </c>
      <c r="F93" s="87"/>
      <c r="G93" s="87"/>
      <c r="H93" s="92"/>
      <c r="I93" s="16"/>
      <c r="J93" s="17"/>
      <c r="K93" s="15">
        <f t="shared" si="4"/>
        <v>0</v>
      </c>
      <c r="L93" s="77">
        <f>E93*(1+C110)+I93+J93*(1+C112)</f>
        <v>0</v>
      </c>
      <c r="M93" s="156">
        <f>E93*(1+C119)+I93+J93</f>
        <v>0</v>
      </c>
    </row>
    <row r="94" spans="1:13" x14ac:dyDescent="0.25">
      <c r="A94" s="369"/>
      <c r="B94" s="7" t="s">
        <v>160</v>
      </c>
      <c r="C94" s="126"/>
      <c r="D94" s="126"/>
      <c r="E94" s="127"/>
      <c r="F94" s="87"/>
      <c r="G94" s="87"/>
      <c r="H94" s="92"/>
      <c r="I94" s="16"/>
      <c r="J94" s="17"/>
      <c r="K94" s="15">
        <f t="shared" si="4"/>
        <v>0</v>
      </c>
      <c r="L94" s="77">
        <f>E94*(1+C110)+I94+J94*(1+C112)</f>
        <v>0</v>
      </c>
      <c r="M94" s="156">
        <f>E94*(1+C119)+I94+J94</f>
        <v>0</v>
      </c>
    </row>
    <row r="95" spans="1:13" x14ac:dyDescent="0.25">
      <c r="A95" s="369"/>
      <c r="B95" s="5" t="s">
        <v>161</v>
      </c>
      <c r="C95" s="14"/>
      <c r="D95" s="14"/>
      <c r="E95" s="15">
        <f>C95*C108+C109*D95</f>
        <v>0</v>
      </c>
      <c r="F95" s="87"/>
      <c r="G95" s="87"/>
      <c r="H95" s="92"/>
      <c r="I95" s="16"/>
      <c r="J95" s="17"/>
      <c r="K95" s="15">
        <f t="shared" si="4"/>
        <v>0</v>
      </c>
      <c r="L95" s="77">
        <f>E95*(1+C110)+I95+J95*(1+C112)</f>
        <v>0</v>
      </c>
      <c r="M95" s="156">
        <f>E95*(1+C119)+I95+J95</f>
        <v>0</v>
      </c>
    </row>
    <row r="96" spans="1:13" ht="15.75" thickBot="1" x14ac:dyDescent="0.3">
      <c r="A96" s="369"/>
      <c r="B96" s="3" t="s">
        <v>162</v>
      </c>
      <c r="C96" s="145"/>
      <c r="D96" s="145"/>
      <c r="E96" s="146"/>
      <c r="F96" s="89"/>
      <c r="G96" s="89"/>
      <c r="H96" s="147"/>
      <c r="I96" s="78"/>
      <c r="J96" s="79"/>
      <c r="K96" s="77">
        <f t="shared" si="4"/>
        <v>0</v>
      </c>
      <c r="L96" s="77">
        <f>E96*(1+C110)+I96+J96*(1+C112)</f>
        <v>0</v>
      </c>
      <c r="M96" s="157">
        <f>E96*(1+C119)+I96+J96</f>
        <v>0</v>
      </c>
    </row>
    <row r="97" spans="1:13" ht="14.45" customHeight="1" thickBot="1" x14ac:dyDescent="0.3">
      <c r="A97" s="358" t="s">
        <v>31</v>
      </c>
      <c r="B97" s="359"/>
      <c r="C97" s="80">
        <f t="shared" ref="C97:E97" si="6">SUM(C56:C96)</f>
        <v>0</v>
      </c>
      <c r="D97" s="80">
        <f t="shared" si="6"/>
        <v>0</v>
      </c>
      <c r="E97" s="81">
        <f t="shared" si="6"/>
        <v>0</v>
      </c>
      <c r="F97" s="81">
        <f>SUM(F56:F96)</f>
        <v>0</v>
      </c>
      <c r="G97" s="81">
        <f>SUM(G56:G96)</f>
        <v>0</v>
      </c>
      <c r="H97" s="81">
        <f t="shared" ref="H97:J97" si="7">SUM(H56:H96)</f>
        <v>0</v>
      </c>
      <c r="I97" s="81">
        <f t="shared" si="7"/>
        <v>0</v>
      </c>
      <c r="J97" s="81">
        <f t="shared" si="7"/>
        <v>0</v>
      </c>
      <c r="K97" s="81">
        <f>SUM(K56:K96)</f>
        <v>0</v>
      </c>
      <c r="L97" s="81">
        <f>SUM(L56:L96)</f>
        <v>0</v>
      </c>
      <c r="M97" s="158">
        <f>SUM(M56:M96)</f>
        <v>0</v>
      </c>
    </row>
    <row r="99" spans="1:13" x14ac:dyDescent="0.25">
      <c r="A99" s="4" t="s">
        <v>21</v>
      </c>
    </row>
    <row r="100" spans="1:13" x14ac:dyDescent="0.25">
      <c r="A100" s="4" t="s">
        <v>155</v>
      </c>
    </row>
    <row r="104" spans="1:13" x14ac:dyDescent="0.25">
      <c r="B104" s="9" t="s">
        <v>20</v>
      </c>
    </row>
    <row r="105" spans="1:13" ht="15.75" thickBot="1" x14ac:dyDescent="0.3">
      <c r="B105" s="269" t="s">
        <v>219</v>
      </c>
      <c r="C105" s="269">
        <v>2019</v>
      </c>
    </row>
    <row r="106" spans="1:13" ht="14.45" customHeight="1" x14ac:dyDescent="0.25">
      <c r="G106" s="430" t="str">
        <f>CONCATENATE("Tarifs applicables en cas d'utilisation pluriannuelle de cette fiche de coûts (application d'un coefficient de dérive annuelle de ",C120*100, " % à la phase de réalisation (phase de conception exclue car effectuée en année 1) :")</f>
        <v>Tarifs applicables en cas d'utilisation pluriannuelle de cette fiche de coûts (application d'un coefficient de dérive annuelle de 2 % à la phase de réalisation (phase de conception exclue car effectuée en année 1) :</v>
      </c>
      <c r="H106" s="431"/>
      <c r="I106" s="431"/>
      <c r="J106" s="431"/>
      <c r="K106" s="431"/>
      <c r="L106" s="431"/>
      <c r="M106" s="432"/>
    </row>
    <row r="107" spans="1:13" ht="15.75" thickBot="1" x14ac:dyDescent="0.3">
      <c r="C107" s="288" t="s">
        <v>54</v>
      </c>
      <c r="G107" s="433"/>
      <c r="H107" s="434"/>
      <c r="I107" s="434"/>
      <c r="J107" s="434"/>
      <c r="K107" s="434"/>
      <c r="L107" s="434"/>
      <c r="M107" s="435"/>
    </row>
    <row r="108" spans="1:13" ht="14.45" customHeight="1" x14ac:dyDescent="0.25">
      <c r="B108" s="11" t="s">
        <v>22</v>
      </c>
      <c r="C108" s="269">
        <f>ROUND(60.61*1.0191,2)</f>
        <v>61.77</v>
      </c>
      <c r="G108" s="213"/>
      <c r="H108" s="214"/>
      <c r="I108" s="438" t="s">
        <v>16</v>
      </c>
      <c r="J108" s="438" t="s">
        <v>17</v>
      </c>
      <c r="K108" s="438" t="str">
        <f>CONCATENATE("Prix de vente hors CEA préconisé avec taux de marge de ",C15*100,"%")</f>
        <v>Prix de vente hors CEA préconisé avec taux de marge de 10%</v>
      </c>
      <c r="L108" s="440" t="s">
        <v>206</v>
      </c>
      <c r="M108" s="442" t="s">
        <v>220</v>
      </c>
    </row>
    <row r="109" spans="1:13" x14ac:dyDescent="0.25">
      <c r="B109" s="11" t="s">
        <v>23</v>
      </c>
      <c r="C109" s="269">
        <f>ROUND(38.39*1.0191,2)</f>
        <v>39.119999999999997</v>
      </c>
      <c r="G109" s="211"/>
      <c r="H109" s="190"/>
      <c r="I109" s="439"/>
      <c r="J109" s="439"/>
      <c r="K109" s="439"/>
      <c r="L109" s="441"/>
      <c r="M109" s="443"/>
    </row>
    <row r="110" spans="1:13" x14ac:dyDescent="0.25">
      <c r="B110" s="273" t="s">
        <v>173</v>
      </c>
      <c r="C110" s="13">
        <v>1.1529</v>
      </c>
      <c r="G110" s="436" t="s">
        <v>221</v>
      </c>
      <c r="H110" s="437"/>
      <c r="I110" s="439"/>
      <c r="J110" s="439"/>
      <c r="K110" s="439"/>
      <c r="L110" s="441"/>
      <c r="M110" s="443"/>
    </row>
    <row r="111" spans="1:13" x14ac:dyDescent="0.25">
      <c r="B111" s="273" t="s">
        <v>172</v>
      </c>
      <c r="C111" s="13">
        <v>1.1346000000000001</v>
      </c>
      <c r="G111" s="211"/>
      <c r="H111" s="190"/>
      <c r="I111" s="439"/>
      <c r="J111" s="439"/>
      <c r="K111" s="439"/>
      <c r="L111" s="441"/>
      <c r="M111" s="443"/>
    </row>
    <row r="112" spans="1:13" x14ac:dyDescent="0.25">
      <c r="B112" s="6" t="s">
        <v>28</v>
      </c>
      <c r="C112" s="13">
        <v>3.4000000000000002E-2</v>
      </c>
      <c r="G112" s="211"/>
      <c r="H112" s="190"/>
      <c r="I112" s="439"/>
      <c r="J112" s="439"/>
      <c r="K112" s="439"/>
      <c r="L112" s="441"/>
      <c r="M112" s="443"/>
    </row>
    <row r="113" spans="2:13" x14ac:dyDescent="0.25">
      <c r="B113" s="6" t="s">
        <v>48</v>
      </c>
      <c r="C113" s="35">
        <v>82.460000000000008</v>
      </c>
      <c r="G113" s="444" t="str">
        <f>CONCATENATE("Prix par participant ",C105)</f>
        <v>Prix par participant 2019</v>
      </c>
      <c r="H113" s="410"/>
      <c r="I113" s="270">
        <f>J11</f>
        <v>0</v>
      </c>
      <c r="J113" s="270">
        <f>K11</f>
        <v>0</v>
      </c>
      <c r="K113" s="270">
        <f>L11</f>
        <v>0</v>
      </c>
      <c r="L113" s="212" t="str">
        <f>J17</f>
        <v>A saisir</v>
      </c>
      <c r="M113" s="215" t="str">
        <f>J18</f>
        <v>A saisir</v>
      </c>
    </row>
    <row r="114" spans="2:13" x14ac:dyDescent="0.25">
      <c r="B114" s="6" t="s">
        <v>49</v>
      </c>
      <c r="C114" s="35">
        <v>54.53</v>
      </c>
      <c r="G114" s="444" t="str">
        <f>CONCATENATE("Prix par participant ",C105+1)</f>
        <v>Prix par participant 2020</v>
      </c>
      <c r="H114" s="410"/>
      <c r="I114" s="35">
        <f>ROUND((K29-K97+K97*(1+C120))*1.1/C14,0)</f>
        <v>0</v>
      </c>
      <c r="J114" s="35">
        <f>ROUND((L29-L97+L97*(1+C120))*1.1/C14,0)</f>
        <v>0</v>
      </c>
      <c r="K114" s="35">
        <f>ROUND(J114*(1+C15),0)</f>
        <v>0</v>
      </c>
      <c r="L114" s="212" t="s">
        <v>190</v>
      </c>
      <c r="M114" s="215" t="s">
        <v>190</v>
      </c>
    </row>
    <row r="115" spans="2:13" x14ac:dyDescent="0.25">
      <c r="B115" s="6" t="s">
        <v>50</v>
      </c>
      <c r="C115" s="35">
        <v>41.230000000000004</v>
      </c>
      <c r="G115" s="444" t="str">
        <f>CONCATENATE("Prix par participant ",C105+2)</f>
        <v>Prix par participant 2021</v>
      </c>
      <c r="H115" s="410"/>
      <c r="I115" s="35">
        <f>ROUND((K29-K97+K97*(1+C120)*(1+C120))*1.1/C14,0)</f>
        <v>0</v>
      </c>
      <c r="J115" s="35">
        <f>ROUND((L29-L97+L97*(1+C120)*(1+C120))*1.1/C14,0)</f>
        <v>0</v>
      </c>
      <c r="K115" s="35">
        <f>ROUND(J115*(1+C15),0)</f>
        <v>0</v>
      </c>
      <c r="L115" s="212" t="s">
        <v>190</v>
      </c>
      <c r="M115" s="215" t="s">
        <v>190</v>
      </c>
    </row>
    <row r="116" spans="2:13" x14ac:dyDescent="0.25">
      <c r="B116" s="6" t="s">
        <v>51</v>
      </c>
      <c r="C116" s="35">
        <v>61.910000000000004</v>
      </c>
      <c r="G116" s="444" t="str">
        <f>CONCATENATE("Prix par participant ",C105+3)</f>
        <v>Prix par participant 2022</v>
      </c>
      <c r="H116" s="410"/>
      <c r="I116" s="35">
        <f>ROUND((K29-K97+K97*(1+C120)*(1+C120)*(1+C120))*1.1/C14,0)</f>
        <v>0</v>
      </c>
      <c r="J116" s="35">
        <f>ROUND((L29-L97+L97*(1+C120)*(1+C120)*(1+C120))*1.1/C14,0)</f>
        <v>0</v>
      </c>
      <c r="K116" s="35">
        <f>ROUND(J116*(1+C15),0)</f>
        <v>0</v>
      </c>
      <c r="L116" s="212" t="s">
        <v>190</v>
      </c>
      <c r="M116" s="215" t="s">
        <v>190</v>
      </c>
    </row>
    <row r="117" spans="2:13" x14ac:dyDescent="0.25">
      <c r="B117" s="6" t="s">
        <v>52</v>
      </c>
      <c r="C117" s="35">
        <v>40.770000000000003</v>
      </c>
      <c r="G117" s="444" t="str">
        <f>CONCATENATE("Prix par participant ",C105+4)</f>
        <v>Prix par participant 2023</v>
      </c>
      <c r="H117" s="410"/>
      <c r="I117" s="35">
        <f>ROUND((K29-K97+K97*(1+C120)*(1+C120)*(1+C120)*(1+C120))*1.1/C14,0)</f>
        <v>0</v>
      </c>
      <c r="J117" s="35">
        <f>ROUND((L29-L97+L97*(1+C120)*(1+C120)*(1+C120)*(1+C120))*1.1/C14,0)</f>
        <v>0</v>
      </c>
      <c r="K117" s="35">
        <f>ROUND(J117*(1+C15),0)</f>
        <v>0</v>
      </c>
      <c r="L117" s="212" t="s">
        <v>190</v>
      </c>
      <c r="M117" s="215" t="s">
        <v>190</v>
      </c>
    </row>
    <row r="118" spans="2:13" ht="15.75" thickBot="1" x14ac:dyDescent="0.3">
      <c r="B118" s="6" t="s">
        <v>53</v>
      </c>
      <c r="C118" s="35">
        <v>31.71</v>
      </c>
      <c r="G118" s="428" t="str">
        <f>CONCATENATE("Prix par participant ",C105+5)</f>
        <v>Prix par participant 2024</v>
      </c>
      <c r="H118" s="429"/>
      <c r="I118" s="216">
        <f>ROUND((K29-K97+K97*(1+C120)*(1+C120)*(1+C120)*(1+C120)*(1+C120))*1.1/C14,0)</f>
        <v>0</v>
      </c>
      <c r="J118" s="216">
        <f>ROUND((L29-L97+L97*(1+C120)*(1+C120)*(1+C120)*(1+C120)*(1+C120))*1.1/C14,0)</f>
        <v>0</v>
      </c>
      <c r="K118" s="216">
        <f>ROUND(J118*(1+C15),0)</f>
        <v>0</v>
      </c>
      <c r="L118" s="217" t="s">
        <v>190</v>
      </c>
      <c r="M118" s="218" t="s">
        <v>190</v>
      </c>
    </row>
    <row r="119" spans="2:13" ht="30" x14ac:dyDescent="0.25">
      <c r="B119" s="6" t="s">
        <v>188</v>
      </c>
      <c r="C119" s="13">
        <v>1.0416000000000001</v>
      </c>
    </row>
    <row r="120" spans="2:13" x14ac:dyDescent="0.25">
      <c r="B120" s="6" t="s">
        <v>222</v>
      </c>
      <c r="C120" s="13">
        <v>0.02</v>
      </c>
    </row>
  </sheetData>
  <mergeCells count="75">
    <mergeCell ref="G7:I7"/>
    <mergeCell ref="L7:M7"/>
    <mergeCell ref="C3:E3"/>
    <mergeCell ref="A1:M1"/>
    <mergeCell ref="C5:F5"/>
    <mergeCell ref="L5:M5"/>
    <mergeCell ref="G6:I6"/>
    <mergeCell ref="L6:M6"/>
    <mergeCell ref="G8:I8"/>
    <mergeCell ref="L8:M8"/>
    <mergeCell ref="G9:I9"/>
    <mergeCell ref="L9:M9"/>
    <mergeCell ref="G10:I10"/>
    <mergeCell ref="L10:M10"/>
    <mergeCell ref="C11:E11"/>
    <mergeCell ref="G11:I11"/>
    <mergeCell ref="L11:M11"/>
    <mergeCell ref="D12:E12"/>
    <mergeCell ref="G12:I12"/>
    <mergeCell ref="L12:M12"/>
    <mergeCell ref="G20:M20"/>
    <mergeCell ref="G13:I13"/>
    <mergeCell ref="L13:M13"/>
    <mergeCell ref="G14:I14"/>
    <mergeCell ref="L14:M14"/>
    <mergeCell ref="G15:I15"/>
    <mergeCell ref="L15:M15"/>
    <mergeCell ref="G16:I16"/>
    <mergeCell ref="L16:M16"/>
    <mergeCell ref="G17:I17"/>
    <mergeCell ref="G18:I18"/>
    <mergeCell ref="G19:I19"/>
    <mergeCell ref="K17:L18"/>
    <mergeCell ref="A34:A37"/>
    <mergeCell ref="G21:I21"/>
    <mergeCell ref="L21:M21"/>
    <mergeCell ref="G22:I22"/>
    <mergeCell ref="L22:M22"/>
    <mergeCell ref="G23:I23"/>
    <mergeCell ref="L23:M23"/>
    <mergeCell ref="G24:I24"/>
    <mergeCell ref="L24:M24"/>
    <mergeCell ref="A29:J29"/>
    <mergeCell ref="A31:M31"/>
    <mergeCell ref="A32:A33"/>
    <mergeCell ref="A38:A48"/>
    <mergeCell ref="A49:B49"/>
    <mergeCell ref="A50:H50"/>
    <mergeCell ref="A51:B51"/>
    <mergeCell ref="F52:H52"/>
    <mergeCell ref="G116:H116"/>
    <mergeCell ref="G117:H117"/>
    <mergeCell ref="G118:H118"/>
    <mergeCell ref="A80:A88"/>
    <mergeCell ref="A89:A96"/>
    <mergeCell ref="A97:B97"/>
    <mergeCell ref="G106:M107"/>
    <mergeCell ref="I108:I112"/>
    <mergeCell ref="J108:J112"/>
    <mergeCell ref="K108:K112"/>
    <mergeCell ref="L108:L112"/>
    <mergeCell ref="M108:M112"/>
    <mergeCell ref="G110:H110"/>
    <mergeCell ref="J50:K50"/>
    <mergeCell ref="J52:K52"/>
    <mergeCell ref="G113:H113"/>
    <mergeCell ref="G114:H114"/>
    <mergeCell ref="G115:H115"/>
    <mergeCell ref="A55:M55"/>
    <mergeCell ref="A56:A61"/>
    <mergeCell ref="A62:A66"/>
    <mergeCell ref="A67:A71"/>
    <mergeCell ref="A72:A73"/>
    <mergeCell ref="A74:A75"/>
    <mergeCell ref="A53:B53"/>
  </mergeCells>
  <dataValidations count="1">
    <dataValidation type="list" allowBlank="1" showInputMessage="1" showErrorMessage="1" sqref="C13" xr:uid="{00000000-0002-0000-0600-000000000000}">
      <formula1>"Choisir Unité,UEC,UECG,UECO,UEM,UES,SFRES,DIR,DDP,DPF,DSTG"</formula1>
    </dataValidation>
  </dataValidations>
  <pageMargins left="0.17" right="0.17" top="0.4" bottom="0.25" header="0.3" footer="0.17"/>
  <pageSetup paperSize="8" scale="6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  <pageSetUpPr fitToPage="1"/>
  </sheetPr>
  <dimension ref="A1:I74"/>
  <sheetViews>
    <sheetView workbookViewId="0">
      <selection activeCell="A24" sqref="A24"/>
    </sheetView>
  </sheetViews>
  <sheetFormatPr baseColWidth="10" defaultRowHeight="15" x14ac:dyDescent="0.25"/>
  <cols>
    <col min="1" max="1" width="32.5703125" bestFit="1" customWidth="1"/>
    <col min="3" max="3" width="12.28515625" customWidth="1"/>
    <col min="4" max="4" width="12.140625" customWidth="1"/>
    <col min="5" max="5" width="13.42578125" customWidth="1"/>
  </cols>
  <sheetData>
    <row r="1" spans="1:9" ht="18.75" x14ac:dyDescent="0.3">
      <c r="A1" s="39" t="s">
        <v>213</v>
      </c>
    </row>
    <row r="3" spans="1:9" x14ac:dyDescent="0.25">
      <c r="A3" s="37" t="s">
        <v>214</v>
      </c>
      <c r="B3" s="271" t="s">
        <v>215</v>
      </c>
      <c r="C3" s="38" t="s">
        <v>121</v>
      </c>
      <c r="D3" s="271" t="s">
        <v>123</v>
      </c>
    </row>
    <row r="4" spans="1:9" x14ac:dyDescent="0.25">
      <c r="A4" s="6" t="s">
        <v>62</v>
      </c>
      <c r="B4" s="35">
        <v>1000</v>
      </c>
      <c r="C4" s="43"/>
      <c r="D4" s="41">
        <f>B4*C4</f>
        <v>0</v>
      </c>
    </row>
    <row r="5" spans="1:9" x14ac:dyDescent="0.25">
      <c r="A5" s="6" t="s">
        <v>63</v>
      </c>
      <c r="B5" s="35">
        <v>1000</v>
      </c>
      <c r="C5" s="43"/>
      <c r="D5" s="41">
        <f t="shared" ref="D5:D8" si="0">B5*C5</f>
        <v>0</v>
      </c>
    </row>
    <row r="6" spans="1:9" x14ac:dyDescent="0.25">
      <c r="A6" s="6" t="s">
        <v>64</v>
      </c>
      <c r="B6" s="35">
        <v>1000</v>
      </c>
      <c r="C6" s="43"/>
      <c r="D6" s="41">
        <f t="shared" si="0"/>
        <v>0</v>
      </c>
    </row>
    <row r="7" spans="1:9" x14ac:dyDescent="0.25">
      <c r="A7" s="6" t="s">
        <v>66</v>
      </c>
      <c r="B7" s="35">
        <v>5000</v>
      </c>
      <c r="C7" s="43"/>
      <c r="D7" s="41">
        <f t="shared" si="0"/>
        <v>0</v>
      </c>
    </row>
    <row r="8" spans="1:9" x14ac:dyDescent="0.25">
      <c r="A8" s="6" t="s">
        <v>65</v>
      </c>
      <c r="B8" s="35">
        <v>1000</v>
      </c>
      <c r="C8" s="43"/>
      <c r="D8" s="41">
        <f t="shared" si="0"/>
        <v>0</v>
      </c>
    </row>
    <row r="9" spans="1:9" x14ac:dyDescent="0.25">
      <c r="A9" s="10" t="s">
        <v>216</v>
      </c>
      <c r="B9" s="40"/>
      <c r="C9" s="43"/>
      <c r="D9" s="41">
        <f>B9*C9</f>
        <v>0</v>
      </c>
    </row>
    <row r="10" spans="1:9" ht="15.75" x14ac:dyDescent="0.25">
      <c r="A10" s="445" t="s">
        <v>124</v>
      </c>
      <c r="B10" s="445"/>
      <c r="C10" s="445"/>
      <c r="D10" s="76">
        <f>SUM(D4:D9)</f>
        <v>0</v>
      </c>
    </row>
    <row r="13" spans="1:9" ht="15.75" x14ac:dyDescent="0.25">
      <c r="A13" s="445" t="s">
        <v>125</v>
      </c>
      <c r="B13" s="445"/>
      <c r="C13" s="445"/>
      <c r="D13" s="76">
        <f>B18*C18+B19*C19+B20*C20+B21*C21+B22*C22+B23*C23+D18*E18+D19*E19+D20*E20+D21*E21+D22*E22+D23*E23+F18*G18+F19*G19+F20*G20+F21*G21+F22*G22+F23*G23+H18*I18+H19*I19+H20*I20+H21*I21+H22*I22+H23*I23+B29*C29+B30*C30+B31*C31+B32*C32+D29*E29+D30*E30+D31*E31+D32*E32+F29*G29+F30*G30+F31*G31+F32*G32+H29*I29+H30*I30+H31*I31+H32*I32+B37*C37+B38*C38+B39*C39+B40*C40+D37*E37+D38*E38+D39*E39+D40*E40+F37*G37+F38*G38+F39*G39+F40*G40+H37*I37+H38*I38+H39*I39+H40*I40+B45*C45+B46*C46+B47*C47+B48*C48+B49*C49+B50*C50+B51*C51+B52*C52+B54*C54+B55*C55+B56*C56+B57*C57+D45*E45+D46*E46+D47*E47+D48*E48+D49*E49+D50*E50+D51*E51+D52*E52+D54*E54+D55*E55+D56*E56+D57*E57+F45*G45+F46*G46+F47*G47+F48*G48+F49*G49+F50*G50+F51*G51+F52*G52+F53*G53+F54*G54+F55*G55+F56*G56+F57*G57+H45*I45+H46*I46+H47*I47+H48*I48+H49*I49+H50*I50+H51*I51+H52*I52+H53*I53+H54*I54+H55*I55+H56*I56+H57*I57+C61*D61+C62*D62+C63*D63+C64*D64+C65*D65+C66*D66+C67*D67+C68*D68+C69*D69+C70*D70+C71*D71+C72*D72+C73*D73+C74*D74+E61*F61+E62*F62+E63*F63+E64*F64+E65*F65+E66*F66+E67*F67+E68*F68+E69*F69+E70*F70+E71*F71+E72*F72+E73*F73+E74*F74</f>
        <v>0</v>
      </c>
    </row>
    <row r="14" spans="1:9" ht="15.75" thickBot="1" x14ac:dyDescent="0.3"/>
    <row r="15" spans="1:9" ht="15.6" customHeight="1" thickBot="1" x14ac:dyDescent="0.3">
      <c r="B15" s="456" t="s">
        <v>68</v>
      </c>
      <c r="C15" s="457"/>
      <c r="D15" s="457"/>
      <c r="E15" s="458"/>
      <c r="F15" s="456" t="s">
        <v>106</v>
      </c>
      <c r="G15" s="457"/>
      <c r="H15" s="457"/>
      <c r="I15" s="458"/>
    </row>
    <row r="16" spans="1:9" ht="28.9" customHeight="1" x14ac:dyDescent="0.25">
      <c r="A16" s="452" t="s">
        <v>120</v>
      </c>
      <c r="B16" s="446" t="s">
        <v>105</v>
      </c>
      <c r="C16" s="447"/>
      <c r="D16" s="448" t="s">
        <v>107</v>
      </c>
      <c r="E16" s="449"/>
      <c r="F16" s="446" t="s">
        <v>105</v>
      </c>
      <c r="G16" s="447"/>
      <c r="H16" s="448" t="s">
        <v>107</v>
      </c>
      <c r="I16" s="449"/>
    </row>
    <row r="17" spans="1:9" x14ac:dyDescent="0.25">
      <c r="A17" s="453"/>
      <c r="B17" s="282" t="s">
        <v>217</v>
      </c>
      <c r="C17" s="272" t="s">
        <v>121</v>
      </c>
      <c r="D17" s="282" t="s">
        <v>217</v>
      </c>
      <c r="E17" s="46" t="s">
        <v>121</v>
      </c>
      <c r="F17" s="282" t="s">
        <v>217</v>
      </c>
      <c r="G17" s="272" t="s">
        <v>121</v>
      </c>
      <c r="H17" s="282" t="s">
        <v>217</v>
      </c>
      <c r="I17" s="46" t="s">
        <v>121</v>
      </c>
    </row>
    <row r="18" spans="1:9" x14ac:dyDescent="0.25">
      <c r="A18" s="57" t="s">
        <v>115</v>
      </c>
      <c r="B18" s="47">
        <v>370</v>
      </c>
      <c r="C18" s="102"/>
      <c r="D18" s="47">
        <f t="shared" ref="D18:D23" si="1">ROUND(B18*0.8,0)</f>
        <v>296</v>
      </c>
      <c r="E18" s="72"/>
      <c r="F18" s="47">
        <f t="shared" ref="F18:F23" si="2">ROUND(B18*0.65,0)</f>
        <v>241</v>
      </c>
      <c r="G18" s="102"/>
      <c r="H18" s="47">
        <f>ROUND(F18*0.8,0)</f>
        <v>193</v>
      </c>
      <c r="I18" s="72"/>
    </row>
    <row r="19" spans="1:9" x14ac:dyDescent="0.25">
      <c r="A19" s="57" t="s">
        <v>116</v>
      </c>
      <c r="B19" s="47">
        <v>700</v>
      </c>
      <c r="C19" s="102"/>
      <c r="D19" s="47">
        <f t="shared" si="1"/>
        <v>560</v>
      </c>
      <c r="E19" s="72"/>
      <c r="F19" s="47">
        <f t="shared" si="2"/>
        <v>455</v>
      </c>
      <c r="G19" s="102"/>
      <c r="H19" s="47">
        <f t="shared" ref="H19:H23" si="3">ROUND(F19*0.8,0)</f>
        <v>364</v>
      </c>
      <c r="I19" s="72"/>
    </row>
    <row r="20" spans="1:9" x14ac:dyDescent="0.25">
      <c r="A20" s="57" t="s">
        <v>117</v>
      </c>
      <c r="B20" s="47">
        <v>1050</v>
      </c>
      <c r="C20" s="102"/>
      <c r="D20" s="47">
        <f t="shared" si="1"/>
        <v>840</v>
      </c>
      <c r="E20" s="72"/>
      <c r="F20" s="47">
        <f t="shared" si="2"/>
        <v>683</v>
      </c>
      <c r="G20" s="102"/>
      <c r="H20" s="47">
        <f t="shared" si="3"/>
        <v>546</v>
      </c>
      <c r="I20" s="72"/>
    </row>
    <row r="21" spans="1:9" x14ac:dyDescent="0.25">
      <c r="A21" s="57" t="s">
        <v>118</v>
      </c>
      <c r="B21" s="47">
        <v>1300</v>
      </c>
      <c r="C21" s="102"/>
      <c r="D21" s="47">
        <f t="shared" si="1"/>
        <v>1040</v>
      </c>
      <c r="E21" s="72"/>
      <c r="F21" s="47">
        <f t="shared" si="2"/>
        <v>845</v>
      </c>
      <c r="G21" s="102"/>
      <c r="H21" s="47">
        <f t="shared" si="3"/>
        <v>676</v>
      </c>
      <c r="I21" s="72"/>
    </row>
    <row r="22" spans="1:9" x14ac:dyDescent="0.25">
      <c r="A22" s="100" t="s">
        <v>119</v>
      </c>
      <c r="B22" s="98">
        <v>800</v>
      </c>
      <c r="C22" s="103"/>
      <c r="D22" s="98">
        <f t="shared" si="1"/>
        <v>640</v>
      </c>
      <c r="E22" s="99"/>
      <c r="F22" s="98">
        <f t="shared" si="2"/>
        <v>520</v>
      </c>
      <c r="G22" s="103"/>
      <c r="H22" s="98">
        <f t="shared" si="3"/>
        <v>416</v>
      </c>
      <c r="I22" s="99"/>
    </row>
    <row r="23" spans="1:9" ht="15.75" thickBot="1" x14ac:dyDescent="0.3">
      <c r="A23" s="58" t="s">
        <v>216</v>
      </c>
      <c r="B23" s="49"/>
      <c r="C23" s="104"/>
      <c r="D23" s="49">
        <f t="shared" si="1"/>
        <v>0</v>
      </c>
      <c r="E23" s="73"/>
      <c r="F23" s="49">
        <f t="shared" si="2"/>
        <v>0</v>
      </c>
      <c r="G23" s="104"/>
      <c r="H23" s="49">
        <f t="shared" si="3"/>
        <v>0</v>
      </c>
      <c r="I23" s="73"/>
    </row>
    <row r="25" spans="1:9" ht="15.75" thickBot="1" x14ac:dyDescent="0.3"/>
    <row r="26" spans="1:9" ht="15.75" thickBot="1" x14ac:dyDescent="0.3">
      <c r="B26" s="456" t="s">
        <v>68</v>
      </c>
      <c r="C26" s="457"/>
      <c r="D26" s="457"/>
      <c r="E26" s="458"/>
      <c r="F26" s="457" t="s">
        <v>106</v>
      </c>
      <c r="G26" s="457"/>
      <c r="H26" s="457"/>
      <c r="I26" s="458"/>
    </row>
    <row r="27" spans="1:9" x14ac:dyDescent="0.25">
      <c r="A27" s="454" t="s">
        <v>112</v>
      </c>
      <c r="B27" s="446" t="s">
        <v>105</v>
      </c>
      <c r="C27" s="450"/>
      <c r="D27" s="451" t="s">
        <v>107</v>
      </c>
      <c r="E27" s="449"/>
      <c r="F27" s="446" t="s">
        <v>105</v>
      </c>
      <c r="G27" s="450"/>
      <c r="H27" s="451" t="s">
        <v>107</v>
      </c>
      <c r="I27" s="449"/>
    </row>
    <row r="28" spans="1:9" x14ac:dyDescent="0.25">
      <c r="A28" s="455"/>
      <c r="B28" s="282" t="s">
        <v>217</v>
      </c>
      <c r="C28" s="46" t="s">
        <v>121</v>
      </c>
      <c r="D28" s="285" t="s">
        <v>217</v>
      </c>
      <c r="E28" s="46" t="s">
        <v>121</v>
      </c>
      <c r="F28" s="282" t="s">
        <v>217</v>
      </c>
      <c r="G28" s="46" t="s">
        <v>121</v>
      </c>
      <c r="H28" s="285" t="s">
        <v>217</v>
      </c>
      <c r="I28" s="46" t="s">
        <v>121</v>
      </c>
    </row>
    <row r="29" spans="1:9" x14ac:dyDescent="0.25">
      <c r="A29" s="53" t="s">
        <v>114</v>
      </c>
      <c r="B29" s="47">
        <v>1600</v>
      </c>
      <c r="C29" s="72"/>
      <c r="D29" s="51">
        <f>ROUND(B29*0.8,0)</f>
        <v>1280</v>
      </c>
      <c r="E29" s="72"/>
      <c r="F29" s="47">
        <v>900</v>
      </c>
      <c r="G29" s="72"/>
      <c r="H29" s="51">
        <f>ROUND(F29*0.8,0)</f>
        <v>720</v>
      </c>
      <c r="I29" s="72"/>
    </row>
    <row r="30" spans="1:9" x14ac:dyDescent="0.25">
      <c r="A30" s="53" t="s">
        <v>110</v>
      </c>
      <c r="B30" s="47">
        <v>550</v>
      </c>
      <c r="C30" s="72"/>
      <c r="D30" s="51">
        <f>ROUND(B30*0.8,0)</f>
        <v>440</v>
      </c>
      <c r="E30" s="72"/>
      <c r="F30" s="47">
        <v>350</v>
      </c>
      <c r="G30" s="72"/>
      <c r="H30" s="51">
        <f t="shared" ref="H30:H32" si="4">ROUND(F30*0.8,0)</f>
        <v>280</v>
      </c>
      <c r="I30" s="72"/>
    </row>
    <row r="31" spans="1:9" x14ac:dyDescent="0.25">
      <c r="A31" s="53" t="s">
        <v>111</v>
      </c>
      <c r="B31" s="47">
        <v>420</v>
      </c>
      <c r="C31" s="72"/>
      <c r="D31" s="51">
        <f>ROUND(B31*0.8,0)</f>
        <v>336</v>
      </c>
      <c r="E31" s="72"/>
      <c r="F31" s="47">
        <v>270</v>
      </c>
      <c r="G31" s="72"/>
      <c r="H31" s="51">
        <f t="shared" si="4"/>
        <v>216</v>
      </c>
      <c r="I31" s="72"/>
    </row>
    <row r="32" spans="1:9" ht="15.75" thickBot="1" x14ac:dyDescent="0.3">
      <c r="A32" s="54" t="s">
        <v>113</v>
      </c>
      <c r="B32" s="49">
        <v>440</v>
      </c>
      <c r="C32" s="73"/>
      <c r="D32" s="52">
        <f>ROUND(B32*0.8,0)</f>
        <v>352</v>
      </c>
      <c r="E32" s="73"/>
      <c r="F32" s="49">
        <v>290</v>
      </c>
      <c r="G32" s="73"/>
      <c r="H32" s="52">
        <f t="shared" si="4"/>
        <v>232</v>
      </c>
      <c r="I32" s="73"/>
    </row>
    <row r="33" spans="1:9" ht="15.75" thickBot="1" x14ac:dyDescent="0.3"/>
    <row r="34" spans="1:9" ht="15.75" thickBot="1" x14ac:dyDescent="0.3">
      <c r="B34" s="456" t="s">
        <v>68</v>
      </c>
      <c r="C34" s="457"/>
      <c r="D34" s="457"/>
      <c r="E34" s="458"/>
      <c r="F34" s="457" t="s">
        <v>106</v>
      </c>
      <c r="G34" s="457"/>
      <c r="H34" s="457"/>
      <c r="I34" s="458"/>
    </row>
    <row r="35" spans="1:9" x14ac:dyDescent="0.25">
      <c r="A35" s="452" t="s">
        <v>104</v>
      </c>
      <c r="B35" s="446" t="s">
        <v>105</v>
      </c>
      <c r="C35" s="450"/>
      <c r="D35" s="451" t="s">
        <v>107</v>
      </c>
      <c r="E35" s="449"/>
      <c r="F35" s="446" t="s">
        <v>105</v>
      </c>
      <c r="G35" s="450"/>
      <c r="H35" s="451" t="s">
        <v>107</v>
      </c>
      <c r="I35" s="449"/>
    </row>
    <row r="36" spans="1:9" x14ac:dyDescent="0.25">
      <c r="A36" s="453"/>
      <c r="B36" s="282" t="s">
        <v>217</v>
      </c>
      <c r="C36" s="46" t="s">
        <v>121</v>
      </c>
      <c r="D36" s="285" t="s">
        <v>217</v>
      </c>
      <c r="E36" s="46" t="s">
        <v>121</v>
      </c>
      <c r="F36" s="282" t="s">
        <v>217</v>
      </c>
      <c r="G36" s="46" t="s">
        <v>121</v>
      </c>
      <c r="H36" s="285" t="s">
        <v>217</v>
      </c>
      <c r="I36" s="46" t="s">
        <v>121</v>
      </c>
    </row>
    <row r="37" spans="1:9" x14ac:dyDescent="0.25">
      <c r="A37" s="57" t="s">
        <v>69</v>
      </c>
      <c r="B37" s="55">
        <v>500</v>
      </c>
      <c r="C37" s="72"/>
      <c r="D37" s="51">
        <f>ROUND(B37*0.8,0)</f>
        <v>400</v>
      </c>
      <c r="E37" s="72"/>
      <c r="F37" s="55">
        <v>300</v>
      </c>
      <c r="G37" s="72"/>
      <c r="H37" s="51">
        <f>ROUND(F37*0.8,0)</f>
        <v>240</v>
      </c>
      <c r="I37" s="72"/>
    </row>
    <row r="38" spans="1:9" x14ac:dyDescent="0.25">
      <c r="A38" s="57" t="s">
        <v>70</v>
      </c>
      <c r="B38" s="55">
        <v>400</v>
      </c>
      <c r="C38" s="72"/>
      <c r="D38" s="51">
        <f>ROUND(B38*0.8,0)</f>
        <v>320</v>
      </c>
      <c r="E38" s="72"/>
      <c r="F38" s="55">
        <v>250</v>
      </c>
      <c r="G38" s="72"/>
      <c r="H38" s="51">
        <f t="shared" ref="H38:H40" si="5">ROUND(F38*0.8,0)</f>
        <v>200</v>
      </c>
      <c r="I38" s="72"/>
    </row>
    <row r="39" spans="1:9" x14ac:dyDescent="0.25">
      <c r="A39" s="57" t="s">
        <v>71</v>
      </c>
      <c r="B39" s="55">
        <v>400</v>
      </c>
      <c r="C39" s="72"/>
      <c r="D39" s="51">
        <f>ROUND(B39*0.8,0)</f>
        <v>320</v>
      </c>
      <c r="E39" s="72"/>
      <c r="F39" s="55">
        <v>250</v>
      </c>
      <c r="G39" s="72"/>
      <c r="H39" s="51">
        <f t="shared" si="5"/>
        <v>200</v>
      </c>
      <c r="I39" s="72"/>
    </row>
    <row r="40" spans="1:9" ht="15.75" thickBot="1" x14ac:dyDescent="0.3">
      <c r="A40" s="58" t="s">
        <v>72</v>
      </c>
      <c r="B40" s="56">
        <v>620</v>
      </c>
      <c r="C40" s="73"/>
      <c r="D40" s="52">
        <f>ROUND(B40*0.8,0)</f>
        <v>496</v>
      </c>
      <c r="E40" s="73"/>
      <c r="F40" s="56">
        <v>370</v>
      </c>
      <c r="G40" s="73"/>
      <c r="H40" s="52">
        <f t="shared" si="5"/>
        <v>296</v>
      </c>
      <c r="I40" s="73"/>
    </row>
    <row r="41" spans="1:9" ht="15.75" thickBot="1" x14ac:dyDescent="0.3"/>
    <row r="42" spans="1:9" ht="15.75" thickBot="1" x14ac:dyDescent="0.3">
      <c r="B42" s="461" t="s">
        <v>68</v>
      </c>
      <c r="C42" s="462"/>
      <c r="D42" s="462"/>
      <c r="E42" s="463"/>
      <c r="F42" s="464" t="s">
        <v>106</v>
      </c>
      <c r="G42" s="462"/>
      <c r="H42" s="462"/>
      <c r="I42" s="465"/>
    </row>
    <row r="43" spans="1:9" x14ac:dyDescent="0.25">
      <c r="A43" s="452" t="s">
        <v>108</v>
      </c>
      <c r="B43" s="446" t="s">
        <v>105</v>
      </c>
      <c r="C43" s="450"/>
      <c r="D43" s="451" t="s">
        <v>107</v>
      </c>
      <c r="E43" s="449"/>
      <c r="F43" s="446" t="s">
        <v>105</v>
      </c>
      <c r="G43" s="450"/>
      <c r="H43" s="451" t="s">
        <v>107</v>
      </c>
      <c r="I43" s="449"/>
    </row>
    <row r="44" spans="1:9" x14ac:dyDescent="0.25">
      <c r="A44" s="453"/>
      <c r="B44" s="282" t="s">
        <v>217</v>
      </c>
      <c r="C44" s="46" t="s">
        <v>121</v>
      </c>
      <c r="D44" s="285" t="s">
        <v>217</v>
      </c>
      <c r="E44" s="46" t="s">
        <v>121</v>
      </c>
      <c r="F44" s="282" t="s">
        <v>217</v>
      </c>
      <c r="G44" s="46" t="s">
        <v>121</v>
      </c>
      <c r="H44" s="285" t="s">
        <v>217</v>
      </c>
      <c r="I44" s="46" t="s">
        <v>121</v>
      </c>
    </row>
    <row r="45" spans="1:9" x14ac:dyDescent="0.25">
      <c r="A45" s="57" t="s">
        <v>74</v>
      </c>
      <c r="B45" s="55">
        <v>370</v>
      </c>
      <c r="C45" s="72"/>
      <c r="D45" s="51">
        <f>ROUND(B45*0.8,0)</f>
        <v>296</v>
      </c>
      <c r="E45" s="72"/>
      <c r="F45" s="55">
        <v>222</v>
      </c>
      <c r="G45" s="72"/>
      <c r="H45" s="51">
        <f>ROUND(F45*0.8,0)</f>
        <v>178</v>
      </c>
      <c r="I45" s="72"/>
    </row>
    <row r="46" spans="1:9" x14ac:dyDescent="0.25">
      <c r="A46" s="57" t="s">
        <v>75</v>
      </c>
      <c r="B46" s="55">
        <v>700</v>
      </c>
      <c r="C46" s="72"/>
      <c r="D46" s="51">
        <f>ROUND(B46*0.8,0)</f>
        <v>560</v>
      </c>
      <c r="E46" s="72"/>
      <c r="F46" s="55">
        <v>420</v>
      </c>
      <c r="G46" s="72"/>
      <c r="H46" s="51">
        <f t="shared" ref="H46:H57" si="6">ROUND(F46*0.8,0)</f>
        <v>336</v>
      </c>
      <c r="I46" s="72"/>
    </row>
    <row r="47" spans="1:9" x14ac:dyDescent="0.25">
      <c r="A47" s="57" t="s">
        <v>76</v>
      </c>
      <c r="B47" s="55">
        <v>1050</v>
      </c>
      <c r="C47" s="72"/>
      <c r="D47" s="51">
        <f>ROUND(B47*0.8,0)</f>
        <v>840</v>
      </c>
      <c r="E47" s="72"/>
      <c r="F47" s="55">
        <v>630</v>
      </c>
      <c r="G47" s="72"/>
      <c r="H47" s="51">
        <f t="shared" si="6"/>
        <v>504</v>
      </c>
      <c r="I47" s="72"/>
    </row>
    <row r="48" spans="1:9" x14ac:dyDescent="0.25">
      <c r="A48" s="57" t="s">
        <v>77</v>
      </c>
      <c r="B48" s="55">
        <v>1300</v>
      </c>
      <c r="C48" s="72"/>
      <c r="D48" s="51">
        <f>ROUND(B48*0.8,0)</f>
        <v>1040</v>
      </c>
      <c r="E48" s="72"/>
      <c r="F48" s="55">
        <v>780</v>
      </c>
      <c r="G48" s="72"/>
      <c r="H48" s="51">
        <f t="shared" si="6"/>
        <v>624</v>
      </c>
      <c r="I48" s="72"/>
    </row>
    <row r="49" spans="1:9" x14ac:dyDescent="0.25">
      <c r="A49" s="57" t="s">
        <v>78</v>
      </c>
      <c r="B49" s="55">
        <v>585</v>
      </c>
      <c r="C49" s="72"/>
      <c r="D49" s="51">
        <f t="shared" ref="D49:D57" si="7">ROUND(B49*0.8,0)</f>
        <v>468</v>
      </c>
      <c r="E49" s="72"/>
      <c r="F49" s="55">
        <v>351</v>
      </c>
      <c r="G49" s="72"/>
      <c r="H49" s="51">
        <f t="shared" si="6"/>
        <v>281</v>
      </c>
      <c r="I49" s="72"/>
    </row>
    <row r="50" spans="1:9" x14ac:dyDescent="0.25">
      <c r="A50" s="57" t="s">
        <v>79</v>
      </c>
      <c r="B50" s="55">
        <v>780</v>
      </c>
      <c r="C50" s="72"/>
      <c r="D50" s="51">
        <f t="shared" si="7"/>
        <v>624</v>
      </c>
      <c r="E50" s="72"/>
      <c r="F50" s="55">
        <v>468</v>
      </c>
      <c r="G50" s="72"/>
      <c r="H50" s="51">
        <f t="shared" si="6"/>
        <v>374</v>
      </c>
      <c r="I50" s="72"/>
    </row>
    <row r="51" spans="1:9" x14ac:dyDescent="0.25">
      <c r="A51" s="57" t="s">
        <v>80</v>
      </c>
      <c r="B51" s="55">
        <v>1170</v>
      </c>
      <c r="C51" s="72"/>
      <c r="D51" s="51">
        <f t="shared" si="7"/>
        <v>936</v>
      </c>
      <c r="E51" s="72"/>
      <c r="F51" s="55">
        <v>702</v>
      </c>
      <c r="G51" s="72"/>
      <c r="H51" s="51">
        <f t="shared" si="6"/>
        <v>562</v>
      </c>
      <c r="I51" s="72"/>
    </row>
    <row r="52" spans="1:9" x14ac:dyDescent="0.25">
      <c r="A52" s="57" t="s">
        <v>81</v>
      </c>
      <c r="B52" s="55">
        <v>350</v>
      </c>
      <c r="C52" s="72"/>
      <c r="D52" s="51">
        <f t="shared" si="7"/>
        <v>280</v>
      </c>
      <c r="E52" s="72"/>
      <c r="F52" s="55">
        <v>210</v>
      </c>
      <c r="G52" s="72"/>
      <c r="H52" s="51">
        <f t="shared" si="6"/>
        <v>168</v>
      </c>
      <c r="I52" s="72"/>
    </row>
    <row r="53" spans="1:9" x14ac:dyDescent="0.25">
      <c r="A53" s="57" t="s">
        <v>82</v>
      </c>
      <c r="B53" s="59"/>
      <c r="C53" s="60"/>
      <c r="D53" s="61"/>
      <c r="E53" s="60"/>
      <c r="F53" s="55">
        <v>625</v>
      </c>
      <c r="G53" s="72"/>
      <c r="H53" s="51">
        <f t="shared" si="6"/>
        <v>500</v>
      </c>
      <c r="I53" s="72"/>
    </row>
    <row r="54" spans="1:9" x14ac:dyDescent="0.25">
      <c r="A54" s="57" t="s">
        <v>83</v>
      </c>
      <c r="B54" s="55">
        <v>1860</v>
      </c>
      <c r="C54" s="72"/>
      <c r="D54" s="51">
        <f t="shared" si="7"/>
        <v>1488</v>
      </c>
      <c r="E54" s="72"/>
      <c r="F54" s="55">
        <v>1116</v>
      </c>
      <c r="G54" s="72"/>
      <c r="H54" s="51">
        <f t="shared" si="6"/>
        <v>893</v>
      </c>
      <c r="I54" s="72"/>
    </row>
    <row r="55" spans="1:9" x14ac:dyDescent="0.25">
      <c r="A55" s="57" t="s">
        <v>84</v>
      </c>
      <c r="B55" s="55">
        <v>2050</v>
      </c>
      <c r="C55" s="72"/>
      <c r="D55" s="51">
        <f t="shared" si="7"/>
        <v>1640</v>
      </c>
      <c r="E55" s="72"/>
      <c r="F55" s="55">
        <v>1230</v>
      </c>
      <c r="G55" s="72"/>
      <c r="H55" s="51">
        <f t="shared" si="6"/>
        <v>984</v>
      </c>
      <c r="I55" s="72"/>
    </row>
    <row r="56" spans="1:9" x14ac:dyDescent="0.25">
      <c r="A56" s="57" t="s">
        <v>85</v>
      </c>
      <c r="B56" s="55">
        <v>2250</v>
      </c>
      <c r="C56" s="72"/>
      <c r="D56" s="51">
        <f t="shared" si="7"/>
        <v>1800</v>
      </c>
      <c r="E56" s="72"/>
      <c r="F56" s="55">
        <v>1350</v>
      </c>
      <c r="G56" s="72"/>
      <c r="H56" s="51">
        <f t="shared" si="6"/>
        <v>1080</v>
      </c>
      <c r="I56" s="72"/>
    </row>
    <row r="57" spans="1:9" ht="15.75" thickBot="1" x14ac:dyDescent="0.3">
      <c r="A57" s="58" t="s">
        <v>86</v>
      </c>
      <c r="B57" s="56">
        <v>2760</v>
      </c>
      <c r="C57" s="73"/>
      <c r="D57" s="52">
        <f t="shared" si="7"/>
        <v>2208</v>
      </c>
      <c r="E57" s="73"/>
      <c r="F57" s="56">
        <v>1616</v>
      </c>
      <c r="G57" s="73"/>
      <c r="H57" s="52">
        <f t="shared" si="6"/>
        <v>1293</v>
      </c>
      <c r="I57" s="73"/>
    </row>
    <row r="58" spans="1:9" ht="15.75" thickBot="1" x14ac:dyDescent="0.3"/>
    <row r="59" spans="1:9" ht="14.45" customHeight="1" x14ac:dyDescent="0.25">
      <c r="A59" s="459" t="s">
        <v>109</v>
      </c>
      <c r="B59" s="466" t="s">
        <v>1</v>
      </c>
      <c r="C59" s="446" t="s">
        <v>105</v>
      </c>
      <c r="D59" s="450"/>
      <c r="E59" s="451" t="s">
        <v>107</v>
      </c>
      <c r="F59" s="449"/>
    </row>
    <row r="60" spans="1:9" ht="15.75" thickBot="1" x14ac:dyDescent="0.3">
      <c r="A60" s="460"/>
      <c r="B60" s="467"/>
      <c r="C60" s="281" t="s">
        <v>217</v>
      </c>
      <c r="D60" s="66" t="s">
        <v>121</v>
      </c>
      <c r="E60" s="67" t="s">
        <v>217</v>
      </c>
      <c r="F60" s="66" t="s">
        <v>121</v>
      </c>
    </row>
    <row r="61" spans="1:9" x14ac:dyDescent="0.25">
      <c r="A61" s="62" t="s">
        <v>87</v>
      </c>
      <c r="B61" s="63" t="s">
        <v>61</v>
      </c>
      <c r="C61" s="62">
        <v>85</v>
      </c>
      <c r="D61" s="74"/>
      <c r="E61" s="64">
        <f>ROUND(C61*0.8,0)</f>
        <v>68</v>
      </c>
      <c r="F61" s="74"/>
    </row>
    <row r="62" spans="1:9" x14ac:dyDescent="0.25">
      <c r="A62" s="47" t="s">
        <v>88</v>
      </c>
      <c r="B62" s="48" t="s">
        <v>61</v>
      </c>
      <c r="C62" s="47">
        <v>145</v>
      </c>
      <c r="D62" s="72"/>
      <c r="E62" s="51">
        <f>ROUND(C62*0.8,0)</f>
        <v>116</v>
      </c>
      <c r="F62" s="72"/>
    </row>
    <row r="63" spans="1:9" x14ac:dyDescent="0.25">
      <c r="A63" s="47" t="s">
        <v>89</v>
      </c>
      <c r="B63" s="48" t="s">
        <v>90</v>
      </c>
      <c r="C63" s="47">
        <v>50</v>
      </c>
      <c r="D63" s="72"/>
      <c r="E63" s="51">
        <f>ROUND(C63*0.8,0)</f>
        <v>40</v>
      </c>
      <c r="F63" s="72"/>
    </row>
    <row r="64" spans="1:9" x14ac:dyDescent="0.25">
      <c r="A64" s="47" t="s">
        <v>91</v>
      </c>
      <c r="B64" s="48" t="s">
        <v>92</v>
      </c>
      <c r="C64" s="47">
        <v>18</v>
      </c>
      <c r="D64" s="72"/>
      <c r="E64" s="51">
        <f>ROUND(C64*0.8,0)</f>
        <v>14</v>
      </c>
      <c r="F64" s="72"/>
    </row>
    <row r="65" spans="1:6" x14ac:dyDescent="0.25">
      <c r="A65" s="47" t="s">
        <v>93</v>
      </c>
      <c r="B65" s="48" t="s">
        <v>61</v>
      </c>
      <c r="C65" s="47">
        <v>30</v>
      </c>
      <c r="D65" s="72"/>
      <c r="E65" s="51">
        <f t="shared" ref="E65:E69" si="8">ROUND(C65*0.8,0)</f>
        <v>24</v>
      </c>
      <c r="F65" s="72"/>
    </row>
    <row r="66" spans="1:6" x14ac:dyDescent="0.25">
      <c r="A66" s="47" t="s">
        <v>94</v>
      </c>
      <c r="B66" s="48" t="s">
        <v>61</v>
      </c>
      <c r="C66" s="47">
        <v>100</v>
      </c>
      <c r="D66" s="72"/>
      <c r="E66" s="51">
        <f t="shared" si="8"/>
        <v>80</v>
      </c>
      <c r="F66" s="72"/>
    </row>
    <row r="67" spans="1:6" x14ac:dyDescent="0.25">
      <c r="A67" s="47" t="s">
        <v>95</v>
      </c>
      <c r="B67" s="48" t="s">
        <v>92</v>
      </c>
      <c r="C67" s="47">
        <v>25</v>
      </c>
      <c r="D67" s="72"/>
      <c r="E67" s="51">
        <f t="shared" si="8"/>
        <v>20</v>
      </c>
      <c r="F67" s="72"/>
    </row>
    <row r="68" spans="1:6" x14ac:dyDescent="0.25">
      <c r="A68" s="47" t="s">
        <v>96</v>
      </c>
      <c r="B68" s="48" t="s">
        <v>97</v>
      </c>
      <c r="C68" s="47">
        <v>50</v>
      </c>
      <c r="D68" s="72"/>
      <c r="E68" s="51">
        <f t="shared" si="8"/>
        <v>40</v>
      </c>
      <c r="F68" s="72"/>
    </row>
    <row r="69" spans="1:6" x14ac:dyDescent="0.25">
      <c r="A69" s="47" t="s">
        <v>98</v>
      </c>
      <c r="B69" s="48" t="s">
        <v>90</v>
      </c>
      <c r="C69" s="47">
        <v>80</v>
      </c>
      <c r="D69" s="72"/>
      <c r="E69" s="51">
        <f t="shared" si="8"/>
        <v>64</v>
      </c>
      <c r="F69" s="72"/>
    </row>
    <row r="70" spans="1:6" ht="45" x14ac:dyDescent="0.25">
      <c r="A70" s="68" t="s">
        <v>218</v>
      </c>
      <c r="B70" s="69" t="s">
        <v>90</v>
      </c>
      <c r="C70" s="70"/>
      <c r="D70" s="75"/>
      <c r="E70" s="71"/>
      <c r="F70" s="75"/>
    </row>
    <row r="71" spans="1:6" x14ac:dyDescent="0.25">
      <c r="A71" s="47" t="s">
        <v>99</v>
      </c>
      <c r="B71" s="48" t="s">
        <v>61</v>
      </c>
      <c r="C71" s="47">
        <v>370</v>
      </c>
      <c r="D71" s="72"/>
      <c r="E71" s="51">
        <f t="shared" ref="E71:E74" si="9">ROUND(C71*0.8,0)</f>
        <v>296</v>
      </c>
      <c r="F71" s="72"/>
    </row>
    <row r="72" spans="1:6" x14ac:dyDescent="0.25">
      <c r="A72" s="47" t="s">
        <v>99</v>
      </c>
      <c r="B72" s="48" t="s">
        <v>73</v>
      </c>
      <c r="C72" s="47">
        <v>240</v>
      </c>
      <c r="D72" s="72"/>
      <c r="E72" s="51">
        <f t="shared" si="9"/>
        <v>192</v>
      </c>
      <c r="F72" s="72"/>
    </row>
    <row r="73" spans="1:6" x14ac:dyDescent="0.25">
      <c r="A73" s="47" t="s">
        <v>100</v>
      </c>
      <c r="B73" s="48" t="s">
        <v>101</v>
      </c>
      <c r="C73" s="47">
        <v>40</v>
      </c>
      <c r="D73" s="72"/>
      <c r="E73" s="51">
        <f t="shared" si="9"/>
        <v>32</v>
      </c>
      <c r="F73" s="72"/>
    </row>
    <row r="74" spans="1:6" ht="15.75" thickBot="1" x14ac:dyDescent="0.3">
      <c r="A74" s="49" t="s">
        <v>102</v>
      </c>
      <c r="B74" s="50" t="s">
        <v>103</v>
      </c>
      <c r="C74" s="49">
        <v>60</v>
      </c>
      <c r="D74" s="73"/>
      <c r="E74" s="52">
        <f t="shared" si="9"/>
        <v>48</v>
      </c>
      <c r="F74" s="73"/>
    </row>
  </sheetData>
  <mergeCells count="34">
    <mergeCell ref="A10:C10"/>
    <mergeCell ref="A13:C13"/>
    <mergeCell ref="B15:E15"/>
    <mergeCell ref="F15:I15"/>
    <mergeCell ref="A16:A17"/>
    <mergeCell ref="B16:C16"/>
    <mergeCell ref="D16:E16"/>
    <mergeCell ref="F16:G16"/>
    <mergeCell ref="H16:I16"/>
    <mergeCell ref="B26:E26"/>
    <mergeCell ref="F26:I26"/>
    <mergeCell ref="A27:A28"/>
    <mergeCell ref="B27:C27"/>
    <mergeCell ref="D27:E27"/>
    <mergeCell ref="F27:G27"/>
    <mergeCell ref="H27:I27"/>
    <mergeCell ref="B34:E34"/>
    <mergeCell ref="F34:I34"/>
    <mergeCell ref="A35:A36"/>
    <mergeCell ref="B35:C35"/>
    <mergeCell ref="D35:E35"/>
    <mergeCell ref="F35:G35"/>
    <mergeCell ref="H35:I35"/>
    <mergeCell ref="A59:A60"/>
    <mergeCell ref="B59:B60"/>
    <mergeCell ref="C59:D59"/>
    <mergeCell ref="E59:F59"/>
    <mergeCell ref="B42:E42"/>
    <mergeCell ref="F42:I42"/>
    <mergeCell ref="A43:A44"/>
    <mergeCell ref="B43:C43"/>
    <mergeCell ref="D43:E43"/>
    <mergeCell ref="F43:G43"/>
    <mergeCell ref="H43:I43"/>
  </mergeCells>
  <pageMargins left="0.7" right="0.7" top="0.75" bottom="0.75" header="0.3" footer="0.3"/>
  <pageSetup paperSize="9" scale="6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  <pageSetUpPr fitToPage="1"/>
  </sheetPr>
  <dimension ref="A1:E19"/>
  <sheetViews>
    <sheetView workbookViewId="0">
      <selection activeCell="A16" sqref="A16:XFD16"/>
    </sheetView>
  </sheetViews>
  <sheetFormatPr baseColWidth="10" defaultRowHeight="15" x14ac:dyDescent="0.25"/>
  <cols>
    <col min="1" max="1" width="49.5703125" customWidth="1"/>
    <col min="3" max="3" width="24.7109375" customWidth="1"/>
    <col min="4" max="4" width="16.7109375" bestFit="1" customWidth="1"/>
  </cols>
  <sheetData>
    <row r="1" spans="1:5" ht="18.75" x14ac:dyDescent="0.3">
      <c r="A1" s="39" t="s">
        <v>371</v>
      </c>
    </row>
    <row r="2" spans="1:5" ht="15.75" thickBot="1" x14ac:dyDescent="0.3"/>
    <row r="3" spans="1:5" ht="45" x14ac:dyDescent="0.25">
      <c r="A3" s="105" t="s">
        <v>375</v>
      </c>
      <c r="B3" s="106" t="s">
        <v>374</v>
      </c>
      <c r="C3" s="106" t="s">
        <v>472</v>
      </c>
      <c r="D3" s="106" t="s">
        <v>132</v>
      </c>
      <c r="E3" s="107" t="s">
        <v>123</v>
      </c>
    </row>
    <row r="4" spans="1:5" x14ac:dyDescent="0.25">
      <c r="A4" s="108" t="s">
        <v>129</v>
      </c>
      <c r="B4" s="93">
        <v>17.5</v>
      </c>
      <c r="C4" s="95"/>
      <c r="D4" s="97">
        <f>'Fiche de coûts part1'!C14+2</f>
        <v>9</v>
      </c>
      <c r="E4" s="109">
        <f>B4*D4*C4</f>
        <v>0</v>
      </c>
    </row>
    <row r="5" spans="1:5" x14ac:dyDescent="0.25">
      <c r="A5" s="108" t="s">
        <v>128</v>
      </c>
      <c r="B5" s="93">
        <v>12.5</v>
      </c>
      <c r="C5" s="95"/>
      <c r="D5" s="97">
        <f>'Fiche de coûts part1'!C14+2</f>
        <v>9</v>
      </c>
      <c r="E5" s="109">
        <f t="shared" ref="E5:E7" si="0">B5*D5*C5</f>
        <v>0</v>
      </c>
    </row>
    <row r="6" spans="1:5" x14ac:dyDescent="0.25">
      <c r="A6" s="108" t="s">
        <v>130</v>
      </c>
      <c r="B6" s="93">
        <v>6</v>
      </c>
      <c r="C6" s="95"/>
      <c r="D6" s="97">
        <f>'Fiche de coûts part1'!C14</f>
        <v>7</v>
      </c>
      <c r="E6" s="109">
        <f t="shared" si="0"/>
        <v>0</v>
      </c>
    </row>
    <row r="7" spans="1:5" x14ac:dyDescent="0.25">
      <c r="A7" s="110" t="s">
        <v>122</v>
      </c>
      <c r="B7" s="94"/>
      <c r="C7" s="96"/>
      <c r="D7" s="97">
        <f>'Fiche de coûts part1'!C14</f>
        <v>7</v>
      </c>
      <c r="E7" s="109">
        <f t="shared" si="0"/>
        <v>0</v>
      </c>
    </row>
    <row r="8" spans="1:5" ht="16.5" thickBot="1" x14ac:dyDescent="0.3">
      <c r="A8" s="468" t="s">
        <v>131</v>
      </c>
      <c r="B8" s="469"/>
      <c r="C8" s="469"/>
      <c r="D8" s="469"/>
      <c r="E8" s="111">
        <f>SUM(E4:E7)</f>
        <v>0</v>
      </c>
    </row>
    <row r="10" spans="1:5" ht="15.75" thickBot="1" x14ac:dyDescent="0.3"/>
    <row r="11" spans="1:5" ht="60" x14ac:dyDescent="0.25">
      <c r="A11" s="105" t="s">
        <v>376</v>
      </c>
      <c r="B11" s="106" t="s">
        <v>374</v>
      </c>
      <c r="C11" s="106" t="s">
        <v>473</v>
      </c>
      <c r="D11" s="106" t="s">
        <v>132</v>
      </c>
      <c r="E11" s="107" t="s">
        <v>138</v>
      </c>
    </row>
    <row r="12" spans="1:5" ht="45" x14ac:dyDescent="0.25">
      <c r="A12" s="108" t="s">
        <v>207</v>
      </c>
      <c r="B12" s="93">
        <v>15</v>
      </c>
      <c r="C12" s="95"/>
      <c r="D12" s="198">
        <f>'Fiche de coûts part1'!C14</f>
        <v>7</v>
      </c>
      <c r="E12" s="199">
        <f>B12*D12*C12</f>
        <v>0</v>
      </c>
    </row>
    <row r="13" spans="1:5" x14ac:dyDescent="0.25">
      <c r="A13" s="108" t="s">
        <v>137</v>
      </c>
      <c r="B13" s="93">
        <v>25</v>
      </c>
      <c r="C13" s="95"/>
      <c r="D13" s="198">
        <f>'Fiche de coûts part1'!C14</f>
        <v>7</v>
      </c>
      <c r="E13" s="199">
        <f t="shared" ref="E13:E18" si="1">B13*D13*C13</f>
        <v>0</v>
      </c>
    </row>
    <row r="14" spans="1:5" x14ac:dyDescent="0.25">
      <c r="A14" s="108" t="s">
        <v>136</v>
      </c>
      <c r="B14" s="93">
        <v>5</v>
      </c>
      <c r="C14" s="95"/>
      <c r="D14" s="198">
        <f>'Fiche de coûts part1'!C14</f>
        <v>7</v>
      </c>
      <c r="E14" s="199">
        <f t="shared" si="1"/>
        <v>0</v>
      </c>
    </row>
    <row r="15" spans="1:5" x14ac:dyDescent="0.25">
      <c r="A15" s="182" t="s">
        <v>198</v>
      </c>
      <c r="B15" s="183"/>
      <c r="C15" s="184"/>
      <c r="D15" s="198">
        <f>'Fiche de coûts part1'!C14</f>
        <v>7</v>
      </c>
      <c r="E15" s="199">
        <f t="shared" si="1"/>
        <v>0</v>
      </c>
    </row>
    <row r="16" spans="1:5" ht="30" x14ac:dyDescent="0.25">
      <c r="A16" s="195" t="s">
        <v>200</v>
      </c>
      <c r="B16" s="183"/>
      <c r="C16" s="184"/>
      <c r="D16" s="198">
        <f>'Fiche de coûts part1'!C14</f>
        <v>7</v>
      </c>
      <c r="E16" s="199">
        <f t="shared" si="1"/>
        <v>0</v>
      </c>
    </row>
    <row r="17" spans="1:5" ht="30" x14ac:dyDescent="0.25">
      <c r="A17" s="195" t="s">
        <v>200</v>
      </c>
      <c r="B17" s="183"/>
      <c r="C17" s="184"/>
      <c r="D17" s="198">
        <f>'Fiche de coûts part1'!C14</f>
        <v>7</v>
      </c>
      <c r="E17" s="199">
        <f t="shared" si="1"/>
        <v>0</v>
      </c>
    </row>
    <row r="18" spans="1:5" ht="30" x14ac:dyDescent="0.25">
      <c r="A18" s="195" t="s">
        <v>200</v>
      </c>
      <c r="B18" s="183"/>
      <c r="C18" s="184"/>
      <c r="D18" s="198">
        <f>'Fiche de coûts part1'!C14</f>
        <v>7</v>
      </c>
      <c r="E18" s="199">
        <f t="shared" si="1"/>
        <v>0</v>
      </c>
    </row>
    <row r="19" spans="1:5" ht="30.75" thickBot="1" x14ac:dyDescent="0.3">
      <c r="A19" s="196" t="s">
        <v>200</v>
      </c>
      <c r="B19" s="200"/>
      <c r="C19" s="201"/>
      <c r="D19" s="202">
        <f>'Fiche de coûts part1'!C14</f>
        <v>7</v>
      </c>
      <c r="E19" s="203">
        <f>B19*D19*C19</f>
        <v>0</v>
      </c>
    </row>
  </sheetData>
  <mergeCells count="1">
    <mergeCell ref="A8:D8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A1:I13"/>
  <sheetViews>
    <sheetView workbookViewId="0">
      <selection activeCell="F18" sqref="F18"/>
    </sheetView>
  </sheetViews>
  <sheetFormatPr baseColWidth="10" defaultRowHeight="15" x14ac:dyDescent="0.25"/>
  <cols>
    <col min="1" max="1" width="23.28515625" bestFit="1" customWidth="1"/>
    <col min="2" max="2" width="23.28515625" customWidth="1"/>
    <col min="3" max="3" width="10" customWidth="1"/>
    <col min="9" max="9" width="16.140625" customWidth="1"/>
  </cols>
  <sheetData>
    <row r="1" spans="1:9" x14ac:dyDescent="0.25">
      <c r="A1" t="s">
        <v>372</v>
      </c>
    </row>
    <row r="2" spans="1:9" x14ac:dyDescent="0.25">
      <c r="A2" s="112" t="s">
        <v>150</v>
      </c>
      <c r="B2" s="112"/>
    </row>
    <row r="3" spans="1:9" x14ac:dyDescent="0.25">
      <c r="A3" s="112"/>
      <c r="B3" s="112"/>
    </row>
    <row r="4" spans="1:9" ht="15.75" thickBot="1" x14ac:dyDescent="0.3"/>
    <row r="5" spans="1:9" ht="29.45" customHeight="1" thickBot="1" x14ac:dyDescent="0.3">
      <c r="C5" s="472" t="s">
        <v>152</v>
      </c>
      <c r="D5" s="473"/>
      <c r="E5" s="472" t="s">
        <v>151</v>
      </c>
      <c r="F5" s="474"/>
      <c r="G5" s="472" t="s">
        <v>194</v>
      </c>
      <c r="H5" s="474"/>
      <c r="I5" s="470" t="s">
        <v>154</v>
      </c>
    </row>
    <row r="6" spans="1:9" ht="15.75" thickBot="1" x14ac:dyDescent="0.3">
      <c r="A6" s="283" t="s">
        <v>153</v>
      </c>
      <c r="B6" s="115" t="s">
        <v>1</v>
      </c>
      <c r="C6" s="120" t="s">
        <v>373</v>
      </c>
      <c r="D6" s="121" t="s">
        <v>121</v>
      </c>
      <c r="E6" s="120" t="s">
        <v>373</v>
      </c>
      <c r="F6" s="121" t="s">
        <v>121</v>
      </c>
      <c r="G6" s="120" t="s">
        <v>373</v>
      </c>
      <c r="H6" s="121" t="s">
        <v>121</v>
      </c>
      <c r="I6" s="471"/>
    </row>
    <row r="7" spans="1:9" x14ac:dyDescent="0.25">
      <c r="A7" s="113" t="s">
        <v>143</v>
      </c>
      <c r="B7" s="113" t="s">
        <v>144</v>
      </c>
      <c r="C7" s="62">
        <v>0.32</v>
      </c>
      <c r="D7" s="118"/>
      <c r="E7" s="62">
        <v>0.32</v>
      </c>
      <c r="F7" s="118"/>
      <c r="G7" s="62">
        <v>0</v>
      </c>
      <c r="H7" s="118"/>
      <c r="I7" s="119">
        <f>C7*D7+E7*F7+G7*H7</f>
        <v>0</v>
      </c>
    </row>
    <row r="8" spans="1:9" x14ac:dyDescent="0.25">
      <c r="A8" s="57" t="s">
        <v>145</v>
      </c>
      <c r="B8" s="57" t="s">
        <v>146</v>
      </c>
      <c r="C8" s="47">
        <v>92</v>
      </c>
      <c r="D8" s="102"/>
      <c r="E8" s="47">
        <v>72</v>
      </c>
      <c r="F8" s="102"/>
      <c r="G8" s="62">
        <v>0</v>
      </c>
      <c r="H8" s="102"/>
      <c r="I8" s="116">
        <f t="shared" ref="I8:I11" si="0">C8*D8+E8*F8+G8*H8</f>
        <v>0</v>
      </c>
    </row>
    <row r="9" spans="1:9" x14ac:dyDescent="0.25">
      <c r="A9" s="57" t="s">
        <v>147</v>
      </c>
      <c r="B9" s="57" t="s">
        <v>148</v>
      </c>
      <c r="C9" s="47">
        <v>22</v>
      </c>
      <c r="D9" s="102"/>
      <c r="E9" s="47">
        <v>22</v>
      </c>
      <c r="F9" s="102"/>
      <c r="G9" s="62">
        <v>0</v>
      </c>
      <c r="H9" s="102"/>
      <c r="I9" s="116">
        <f t="shared" si="0"/>
        <v>0</v>
      </c>
    </row>
    <row r="10" spans="1:9" x14ac:dyDescent="0.25">
      <c r="A10" s="57" t="s">
        <v>149</v>
      </c>
      <c r="B10" s="57" t="s">
        <v>148</v>
      </c>
      <c r="C10" s="47">
        <v>17.5</v>
      </c>
      <c r="D10" s="102"/>
      <c r="E10" s="47">
        <v>17.5</v>
      </c>
      <c r="F10" s="102"/>
      <c r="G10" s="62">
        <v>0</v>
      </c>
      <c r="H10" s="102"/>
      <c r="I10" s="116">
        <f t="shared" si="0"/>
        <v>0</v>
      </c>
    </row>
    <row r="11" spans="1:9" ht="15.75" thickBot="1" x14ac:dyDescent="0.3">
      <c r="A11" s="58" t="s">
        <v>122</v>
      </c>
      <c r="B11" s="58" t="s">
        <v>148</v>
      </c>
      <c r="C11" s="49"/>
      <c r="D11" s="104"/>
      <c r="E11" s="49">
        <f>ROUND(C11*0.65,0)</f>
        <v>0</v>
      </c>
      <c r="F11" s="104"/>
      <c r="G11" s="49">
        <f>ROUND(E11*0.65,0)</f>
        <v>0</v>
      </c>
      <c r="H11" s="104"/>
      <c r="I11" s="117">
        <f t="shared" si="0"/>
        <v>0</v>
      </c>
    </row>
    <row r="12" spans="1:9" ht="16.5" thickBot="1" x14ac:dyDescent="0.3">
      <c r="I12" s="122">
        <f>SUM(I7:I11)</f>
        <v>0</v>
      </c>
    </row>
    <row r="13" spans="1:9" x14ac:dyDescent="0.25">
      <c r="A13" s="289" t="s">
        <v>343</v>
      </c>
    </row>
  </sheetData>
  <mergeCells count="4">
    <mergeCell ref="C5:D5"/>
    <mergeCell ref="E5:F5"/>
    <mergeCell ref="G5:H5"/>
    <mergeCell ref="I5:I6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39997558519241921"/>
    <pageSetUpPr fitToPage="1"/>
  </sheetPr>
  <dimension ref="A1:M120"/>
  <sheetViews>
    <sheetView showGridLines="0" zoomScaleNormal="100" workbookViewId="0">
      <selection activeCell="J78" sqref="J78"/>
    </sheetView>
  </sheetViews>
  <sheetFormatPr baseColWidth="10" defaultColWidth="11.5703125" defaultRowHeight="15" x14ac:dyDescent="0.25"/>
  <cols>
    <col min="1" max="1" width="17.28515625" style="1" customWidth="1"/>
    <col min="2" max="2" width="55.28515625" style="1" customWidth="1"/>
    <col min="3" max="8" width="11.5703125" style="1"/>
    <col min="9" max="9" width="13.140625" style="1" customWidth="1"/>
    <col min="10" max="13" width="13.28515625" style="1" customWidth="1"/>
    <col min="14" max="14" width="11.5703125" style="1"/>
    <col min="15" max="15" width="22.5703125" style="1" customWidth="1"/>
    <col min="16" max="16" width="11.5703125" style="1"/>
    <col min="17" max="17" width="12.5703125" style="1" customWidth="1"/>
    <col min="18" max="18" width="18.7109375" style="1" customWidth="1"/>
    <col min="19" max="19" width="12.7109375" style="1" customWidth="1"/>
    <col min="20" max="20" width="13.28515625" style="1" customWidth="1"/>
    <col min="21" max="16384" width="11.5703125" style="1"/>
  </cols>
  <sheetData>
    <row r="1" spans="1:13" ht="31.5" x14ac:dyDescent="0.25">
      <c r="A1" s="399" t="str">
        <f>'Fiche de coûts part1'!A1:M1</f>
        <v>Fiche de coûts INSTN - V1.4 du 25/01/2019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</row>
    <row r="3" spans="1:13" ht="54.6" customHeight="1" x14ac:dyDescent="0.25">
      <c r="C3" s="494" t="s">
        <v>348</v>
      </c>
      <c r="D3" s="494"/>
      <c r="E3" s="494"/>
    </row>
    <row r="5" spans="1:13" ht="43.15" customHeight="1" x14ac:dyDescent="0.25">
      <c r="B5" s="133" t="s">
        <v>197</v>
      </c>
      <c r="C5" s="401" t="str">
        <f>'Fiche de coûts'!C5:F5</f>
        <v>Télémanipulation</v>
      </c>
      <c r="D5" s="402"/>
      <c r="E5" s="402"/>
      <c r="F5" s="403"/>
      <c r="J5" s="271" t="s">
        <v>16</v>
      </c>
      <c r="K5" s="271" t="s">
        <v>17</v>
      </c>
      <c r="L5" s="410" t="str">
        <f>CONCATENATE("Prix de vente hors CEA préconisé avec taux de marge de ",C15*100,"%")</f>
        <v>Prix de vente hors CEA préconisé avec taux de marge de 10%</v>
      </c>
      <c r="M5" s="410"/>
    </row>
    <row r="6" spans="1:13" ht="14.45" customHeight="1" x14ac:dyDescent="0.25">
      <c r="B6" s="133" t="s">
        <v>175</v>
      </c>
      <c r="C6" s="165" t="str">
        <f>'Fiche de coûts'!C6:F6</f>
        <v>TEL</v>
      </c>
      <c r="G6" s="407" t="s">
        <v>474</v>
      </c>
      <c r="H6" s="408"/>
      <c r="I6" s="409"/>
      <c r="J6" s="132">
        <f>K29</f>
        <v>0</v>
      </c>
      <c r="K6" s="132">
        <f>L29</f>
        <v>0</v>
      </c>
      <c r="L6" s="493">
        <f>K6*(1+C15)</f>
        <v>0</v>
      </c>
      <c r="M6" s="493"/>
    </row>
    <row r="7" spans="1:13" ht="14.45" customHeight="1" x14ac:dyDescent="0.25">
      <c r="B7" s="6" t="s">
        <v>180</v>
      </c>
      <c r="C7" s="161">
        <f>'Fiche de coûts'!C7:F7</f>
        <v>36161</v>
      </c>
      <c r="G7" s="405" t="s">
        <v>184</v>
      </c>
      <c r="H7" s="405"/>
      <c r="I7" s="405"/>
      <c r="J7" s="131">
        <f>K53+K97-K80-K81-K82-K83-K84-K85-K86-K87-K88</f>
        <v>0</v>
      </c>
      <c r="K7" s="131">
        <f>L53+L97-L80-L81-L82-L83-L84-L85-L86-L87-L88</f>
        <v>0</v>
      </c>
      <c r="L7" s="492">
        <f>K7*(1+C15)</f>
        <v>0</v>
      </c>
      <c r="M7" s="492"/>
    </row>
    <row r="8" spans="1:13" ht="14.45" customHeight="1" x14ac:dyDescent="0.25">
      <c r="B8" s="6" t="s">
        <v>176</v>
      </c>
      <c r="C8" s="6" t="str">
        <f>'Fiche de coûts'!C8:F8</f>
        <v>FC INTER</v>
      </c>
      <c r="G8" s="405" t="s">
        <v>183</v>
      </c>
      <c r="H8" s="405"/>
      <c r="I8" s="405"/>
      <c r="J8" s="131">
        <f>K80+K81+K82+K83+K84+K85+K86+K87+K88</f>
        <v>0</v>
      </c>
      <c r="K8" s="131">
        <f>L80+L81+L82+L83+L84+L85+L86+L87+L88</f>
        <v>0</v>
      </c>
      <c r="L8" s="492">
        <f>K8*(1+C15)</f>
        <v>0</v>
      </c>
      <c r="M8" s="492"/>
    </row>
    <row r="9" spans="1:13" ht="14.45" customHeight="1" x14ac:dyDescent="0.25">
      <c r="B9" s="6" t="s">
        <v>191</v>
      </c>
      <c r="C9" s="6">
        <f>'Fiche de coûts'!C9:F9</f>
        <v>3</v>
      </c>
      <c r="G9" s="378" t="s">
        <v>181</v>
      </c>
      <c r="H9" s="378"/>
      <c r="I9" s="378"/>
      <c r="J9" s="6">
        <f>ROUND(J6*0.1,0)</f>
        <v>0</v>
      </c>
      <c r="K9" s="6">
        <f>ROUND(K6*0.1,0)</f>
        <v>0</v>
      </c>
      <c r="L9" s="439">
        <f>ROUND(L6*0.1,0)</f>
        <v>0</v>
      </c>
      <c r="M9" s="439"/>
    </row>
    <row r="10" spans="1:13" ht="14.45" customHeight="1" x14ac:dyDescent="0.25">
      <c r="B10" s="6" t="s">
        <v>344</v>
      </c>
      <c r="C10" s="163" t="str">
        <f>'Fiche de coûts'!C10:F10</f>
        <v>J.VIDECOQ</v>
      </c>
      <c r="G10" s="406" t="s">
        <v>475</v>
      </c>
      <c r="H10" s="406"/>
      <c r="I10" s="406"/>
      <c r="J10" s="132">
        <f>J6+J9</f>
        <v>0</v>
      </c>
      <c r="K10" s="132">
        <f>K6+K9</f>
        <v>0</v>
      </c>
      <c r="L10" s="493">
        <f>L6+L9</f>
        <v>0</v>
      </c>
      <c r="M10" s="493"/>
    </row>
    <row r="11" spans="1:13" ht="14.45" customHeight="1" x14ac:dyDescent="0.25">
      <c r="B11" s="166" t="s">
        <v>346</v>
      </c>
      <c r="C11" s="410" t="str">
        <f>'Fiche de coûts'!C11:F11</f>
        <v>LOCTHEXPMAIN</v>
      </c>
      <c r="D11" s="410">
        <f>'Fiche de coûts'!D11:G11</f>
        <v>0</v>
      </c>
      <c r="E11" s="410">
        <f>'Fiche de coûts'!E11:H11</f>
        <v>0</v>
      </c>
      <c r="G11" s="406" t="s">
        <v>476</v>
      </c>
      <c r="H11" s="406"/>
      <c r="I11" s="406"/>
      <c r="J11" s="133">
        <f>ROUND(J10/C14,0)</f>
        <v>0</v>
      </c>
      <c r="K11" s="133">
        <f>ROUND(K10/C14,0)</f>
        <v>0</v>
      </c>
      <c r="L11" s="410">
        <f>ROUND(L10/C14,0)</f>
        <v>0</v>
      </c>
      <c r="M11" s="410"/>
    </row>
    <row r="12" spans="1:13" ht="14.45" customHeight="1" x14ac:dyDescent="0.25">
      <c r="B12" s="6" t="s">
        <v>345</v>
      </c>
      <c r="C12" s="269" t="str">
        <f>'Fiche de coûts'!C12:F12</f>
        <v>Projet 06</v>
      </c>
      <c r="D12" s="495"/>
      <c r="E12" s="495"/>
      <c r="G12" s="378" t="s">
        <v>477</v>
      </c>
      <c r="H12" s="378"/>
      <c r="I12" s="378"/>
      <c r="J12" s="6">
        <f>IF(OR(LEFT(C8,2)="FC",LEFT(C8,2)="Ce"),ROUND(J10/C9,0),"Non applicable")</f>
        <v>0</v>
      </c>
      <c r="K12" s="6">
        <f>IF(OR(LEFT(C8,2)="FC",LEFT(C8,2)="Ce"),ROUND(K10/C9,0),"Non applicable")</f>
        <v>0</v>
      </c>
      <c r="L12" s="439">
        <f>IF(OR(LEFT(C8,2)="FC",LEFT(C8,2)="Ce"),ROUND(L10/C9,0),"Non applicable")</f>
        <v>0</v>
      </c>
      <c r="M12" s="439"/>
    </row>
    <row r="13" spans="1:13" ht="14.45" customHeight="1" x14ac:dyDescent="0.25">
      <c r="B13" s="164" t="s">
        <v>177</v>
      </c>
      <c r="C13" s="164" t="s">
        <v>179</v>
      </c>
      <c r="G13" s="378" t="s">
        <v>478</v>
      </c>
      <c r="H13" s="378"/>
      <c r="I13" s="378"/>
      <c r="J13" s="6">
        <f>IF(LEFT(J12,1)="N",J12,ROUND(J12/C14,0))</f>
        <v>0</v>
      </c>
      <c r="K13" s="6">
        <f>IF(LEFT(K12,1)="N",K12,ROUND(K12/C14,0))</f>
        <v>0</v>
      </c>
      <c r="L13" s="439">
        <f>IF(LEFT(L12,1)="N",L12,ROUND(L12/C14,0))</f>
        <v>0</v>
      </c>
      <c r="M13" s="439"/>
    </row>
    <row r="14" spans="1:13" ht="15" customHeight="1" x14ac:dyDescent="0.25">
      <c r="B14" s="160" t="s">
        <v>171</v>
      </c>
      <c r="C14" s="162">
        <f>'Fiche de coûts'!C14:F14</f>
        <v>7</v>
      </c>
      <c r="D14" s="129"/>
      <c r="E14" s="129"/>
      <c r="F14" s="129"/>
      <c r="G14" s="404" t="s">
        <v>182</v>
      </c>
      <c r="H14" s="404"/>
      <c r="I14" s="404"/>
      <c r="J14" s="160" t="e">
        <f>ROUNDUP(J7/(J11-J8/C14),0)</f>
        <v>#DIV/0!</v>
      </c>
      <c r="K14" s="160" t="e">
        <f>ROUNDUP(J7/(K11-J8/C14),0)</f>
        <v>#DIV/0!</v>
      </c>
      <c r="L14" s="483" t="e">
        <f>ROUNDUP(J7/(L11-J8/C14),0)</f>
        <v>#DIV/0!</v>
      </c>
      <c r="M14" s="483"/>
    </row>
    <row r="15" spans="1:13" ht="15" customHeight="1" x14ac:dyDescent="0.25">
      <c r="B15" s="133" t="s">
        <v>187</v>
      </c>
      <c r="C15" s="210">
        <f>'Fiche de coûts'!C15:F15</f>
        <v>0.1</v>
      </c>
      <c r="D15" s="208" t="s">
        <v>471</v>
      </c>
      <c r="E15" s="188"/>
      <c r="F15" s="177"/>
      <c r="G15" s="378" t="s">
        <v>185</v>
      </c>
      <c r="H15" s="378"/>
      <c r="I15" s="378"/>
      <c r="J15" s="6" t="e">
        <f>J11*J14</f>
        <v>#DIV/0!</v>
      </c>
      <c r="K15" s="6" t="e">
        <f>K11*K14</f>
        <v>#DIV/0!</v>
      </c>
      <c r="L15" s="439" t="e">
        <f>L11*L14</f>
        <v>#DIV/0!</v>
      </c>
      <c r="M15" s="439"/>
    </row>
    <row r="16" spans="1:13" ht="15" customHeight="1" thickBot="1" x14ac:dyDescent="0.3">
      <c r="D16" s="209" t="s">
        <v>195</v>
      </c>
      <c r="E16" s="189"/>
      <c r="G16" s="411" t="s">
        <v>186</v>
      </c>
      <c r="H16" s="412"/>
      <c r="I16" s="413"/>
      <c r="J16" s="181" t="e">
        <f>ROUND(J7+J8/C14*J14,0)</f>
        <v>#DIV/0!</v>
      </c>
      <c r="K16" s="6" t="e">
        <f>ROUND(J7+J8/C14*K14,0)</f>
        <v>#DIV/0!</v>
      </c>
      <c r="L16" s="496" t="e">
        <f>ROUND(J7+J8/C14*L14,0)</f>
        <v>#DIV/0!</v>
      </c>
      <c r="M16" s="485"/>
    </row>
    <row r="17" spans="1:13" ht="15.75" thickTop="1" x14ac:dyDescent="0.25">
      <c r="B17" s="4" t="s">
        <v>469</v>
      </c>
      <c r="D17" s="194"/>
      <c r="E17" s="190"/>
      <c r="G17" s="416" t="s">
        <v>206</v>
      </c>
      <c r="H17" s="417"/>
      <c r="I17" s="417"/>
      <c r="J17" s="204" t="s">
        <v>190</v>
      </c>
      <c r="K17" s="486" t="s">
        <v>466</v>
      </c>
      <c r="L17" s="487"/>
    </row>
    <row r="18" spans="1:13" ht="15.75" thickBot="1" x14ac:dyDescent="0.3">
      <c r="D18" s="194"/>
      <c r="E18" s="190"/>
      <c r="G18" s="422" t="s">
        <v>220</v>
      </c>
      <c r="H18" s="423"/>
      <c r="I18" s="423"/>
      <c r="J18" s="205" t="s">
        <v>190</v>
      </c>
      <c r="K18" s="488"/>
      <c r="L18" s="489"/>
    </row>
    <row r="19" spans="1:13" ht="16.5" thickTop="1" thickBot="1" x14ac:dyDescent="0.3">
      <c r="D19" s="194"/>
      <c r="E19" s="190"/>
      <c r="G19" s="418"/>
      <c r="H19" s="418"/>
      <c r="I19" s="418"/>
      <c r="J19" s="192"/>
    </row>
    <row r="20" spans="1:13" ht="15.75" thickBot="1" x14ac:dyDescent="0.3">
      <c r="D20" s="194"/>
      <c r="E20" s="190"/>
      <c r="G20" s="419" t="s">
        <v>212</v>
      </c>
      <c r="H20" s="420"/>
      <c r="I20" s="420"/>
      <c r="J20" s="420"/>
      <c r="K20" s="420"/>
      <c r="L20" s="420"/>
      <c r="M20" s="421"/>
    </row>
    <row r="21" spans="1:13" x14ac:dyDescent="0.25">
      <c r="D21" s="194"/>
      <c r="E21" s="190"/>
      <c r="G21" s="414" t="s">
        <v>208</v>
      </c>
      <c r="H21" s="415"/>
      <c r="I21" s="415"/>
      <c r="J21" s="280">
        <f>IF(I50=0,K49,0)</f>
        <v>0</v>
      </c>
      <c r="K21" s="280">
        <f>IF(I50=0,L49,0)</f>
        <v>0</v>
      </c>
      <c r="L21" s="477">
        <f>IF(I50=0,M49,0)</f>
        <v>0</v>
      </c>
      <c r="M21" s="478"/>
    </row>
    <row r="22" spans="1:13" x14ac:dyDescent="0.25">
      <c r="D22" s="194"/>
      <c r="E22" s="190"/>
      <c r="G22" s="380" t="s">
        <v>209</v>
      </c>
      <c r="H22" s="381"/>
      <c r="I22" s="381"/>
      <c r="J22" s="278">
        <f>IF(OR(LEFT(C8,2)="FC",LEFT(C8,2)="Ce"),ROUND(J21/C9,0),"Non applicable")</f>
        <v>0</v>
      </c>
      <c r="K22" s="278">
        <f>IF(OR(LEFT(C8,2)="FC",LEFT(C8,2)="Ce"),ROUND(K21/C9,0),"Non applicable")</f>
        <v>0</v>
      </c>
      <c r="L22" s="479">
        <f>IF(OR(LEFT(C8,2)="FC",LEFT(C8,2)="Ce"),ROUND(L21/C9,0),"Non applicable")</f>
        <v>0</v>
      </c>
      <c r="M22" s="480"/>
    </row>
    <row r="23" spans="1:13" x14ac:dyDescent="0.25">
      <c r="D23" s="194"/>
      <c r="E23" s="190"/>
      <c r="G23" s="380" t="s">
        <v>210</v>
      </c>
      <c r="H23" s="381"/>
      <c r="I23" s="381"/>
      <c r="J23" s="278">
        <f>J21/C14</f>
        <v>0</v>
      </c>
      <c r="K23" s="278">
        <f>K21/C14</f>
        <v>0</v>
      </c>
      <c r="L23" s="479">
        <f>L21/C14</f>
        <v>0</v>
      </c>
      <c r="M23" s="480"/>
    </row>
    <row r="24" spans="1:13" ht="15.75" thickBot="1" x14ac:dyDescent="0.3">
      <c r="D24" s="194"/>
      <c r="E24" s="190"/>
      <c r="G24" s="387" t="s">
        <v>211</v>
      </c>
      <c r="H24" s="388"/>
      <c r="I24" s="388"/>
      <c r="J24" s="279">
        <f>IF(LEFT(J22,1)="N","Non applicable",ROUND(J23/C9,0))</f>
        <v>0</v>
      </c>
      <c r="K24" s="279">
        <f>IF(LEFT(K22,1)="N","Non applicable",ROUND(K23/C9,0))</f>
        <v>0</v>
      </c>
      <c r="L24" s="481">
        <f>IF(LEFT(K22,1)="N","Non applicable",ROUND(K23/C9,0))</f>
        <v>0</v>
      </c>
      <c r="M24" s="482"/>
    </row>
    <row r="25" spans="1:13" ht="15.75" thickBot="1" x14ac:dyDescent="0.3">
      <c r="D25" s="194"/>
      <c r="E25" s="190"/>
      <c r="G25" s="191"/>
      <c r="H25" s="191"/>
      <c r="I25" s="191"/>
      <c r="J25" s="192"/>
    </row>
    <row r="26" spans="1:13" ht="45.75" thickBot="1" x14ac:dyDescent="0.3">
      <c r="B26" s="4"/>
      <c r="G26" s="193"/>
      <c r="K26" s="20" t="s">
        <v>204</v>
      </c>
      <c r="L26" s="21" t="s">
        <v>203</v>
      </c>
      <c r="M26" s="21" t="s">
        <v>205</v>
      </c>
    </row>
    <row r="27" spans="1:13" ht="90.75" thickBot="1" x14ac:dyDescent="0.3">
      <c r="A27" s="134" t="s">
        <v>18</v>
      </c>
      <c r="B27" s="18" t="s">
        <v>0</v>
      </c>
      <c r="C27" s="18" t="s">
        <v>24</v>
      </c>
      <c r="D27" s="18" t="s">
        <v>25</v>
      </c>
      <c r="E27" s="18" t="s">
        <v>27</v>
      </c>
      <c r="F27" s="18" t="s">
        <v>47</v>
      </c>
      <c r="G27" s="18" t="s">
        <v>46</v>
      </c>
      <c r="H27" s="18" t="s">
        <v>45</v>
      </c>
      <c r="I27" s="18" t="s">
        <v>165</v>
      </c>
      <c r="J27" s="18" t="s">
        <v>44</v>
      </c>
      <c r="K27" s="18" t="s">
        <v>30</v>
      </c>
      <c r="L27" s="19" t="s">
        <v>29</v>
      </c>
      <c r="M27" s="151" t="s">
        <v>189</v>
      </c>
    </row>
    <row r="28" spans="1:13" ht="15.75" thickBot="1" x14ac:dyDescent="0.3">
      <c r="M28" s="152"/>
    </row>
    <row r="29" spans="1:13" ht="15.75" thickBot="1" x14ac:dyDescent="0.3">
      <c r="A29" s="358" t="s">
        <v>174</v>
      </c>
      <c r="B29" s="360"/>
      <c r="C29" s="360"/>
      <c r="D29" s="360"/>
      <c r="E29" s="360"/>
      <c r="F29" s="360"/>
      <c r="G29" s="360"/>
      <c r="H29" s="360"/>
      <c r="I29" s="360"/>
      <c r="J29" s="360"/>
      <c r="K29" s="123">
        <f>K53+K97</f>
        <v>0</v>
      </c>
      <c r="L29" s="135">
        <f>L53+L97</f>
        <v>0</v>
      </c>
      <c r="M29" s="153">
        <f>M53+M97</f>
        <v>0</v>
      </c>
    </row>
    <row r="30" spans="1:13" ht="15.75" thickBot="1" x14ac:dyDescent="0.3"/>
    <row r="31" spans="1:13" ht="14.45" customHeight="1" thickBot="1" x14ac:dyDescent="0.3">
      <c r="A31" s="372" t="s">
        <v>167</v>
      </c>
      <c r="B31" s="373"/>
      <c r="C31" s="373"/>
      <c r="D31" s="373"/>
      <c r="E31" s="373"/>
      <c r="F31" s="373"/>
      <c r="G31" s="373"/>
      <c r="H31" s="373"/>
      <c r="I31" s="373"/>
      <c r="J31" s="373"/>
      <c r="K31" s="373"/>
      <c r="L31" s="373"/>
      <c r="M31" s="374"/>
    </row>
    <row r="32" spans="1:13" ht="14.45" customHeight="1" x14ac:dyDescent="0.25">
      <c r="A32" s="368" t="s">
        <v>19</v>
      </c>
      <c r="B32" s="22" t="s">
        <v>14</v>
      </c>
      <c r="C32" s="23"/>
      <c r="D32" s="23"/>
      <c r="E32" s="24">
        <f>C32*C108+C109*D32</f>
        <v>0</v>
      </c>
      <c r="F32" s="82"/>
      <c r="G32" s="82"/>
      <c r="H32" s="83"/>
      <c r="I32" s="25"/>
      <c r="J32" s="26"/>
      <c r="K32" s="24">
        <f t="shared" ref="K32:K48" si="0">SUM(E32:J32)-F32-G32</f>
        <v>0</v>
      </c>
      <c r="L32" s="24">
        <f>E32*(1+C110)+I32+J32*(1+C112)</f>
        <v>0</v>
      </c>
      <c r="M32" s="154">
        <f>E32*(1+C119)+I32+J32</f>
        <v>0</v>
      </c>
    </row>
    <row r="33" spans="1:13" ht="14.45" customHeight="1" thickBot="1" x14ac:dyDescent="0.3">
      <c r="A33" s="370"/>
      <c r="B33" s="27" t="s">
        <v>13</v>
      </c>
      <c r="C33" s="28"/>
      <c r="D33" s="28"/>
      <c r="E33" s="29">
        <f>C33*C108+C109*D33</f>
        <v>0</v>
      </c>
      <c r="F33" s="84"/>
      <c r="G33" s="84"/>
      <c r="H33" s="85"/>
      <c r="I33" s="30"/>
      <c r="J33" s="31"/>
      <c r="K33" s="29">
        <f t="shared" si="0"/>
        <v>0</v>
      </c>
      <c r="L33" s="29">
        <f>E33*(1+C110)+I33+J33*(1+C112)</f>
        <v>0</v>
      </c>
      <c r="M33" s="155">
        <f>E33*(1+C119)+I33+J33</f>
        <v>0</v>
      </c>
    </row>
    <row r="34" spans="1:13" x14ac:dyDescent="0.25">
      <c r="A34" s="368" t="s">
        <v>11</v>
      </c>
      <c r="B34" s="32" t="s">
        <v>2</v>
      </c>
      <c r="C34" s="23"/>
      <c r="D34" s="23"/>
      <c r="E34" s="24">
        <f>C34*C108+C109*D34</f>
        <v>0</v>
      </c>
      <c r="F34" s="82"/>
      <c r="G34" s="82"/>
      <c r="H34" s="83"/>
      <c r="I34" s="25"/>
      <c r="J34" s="26"/>
      <c r="K34" s="24">
        <f t="shared" si="0"/>
        <v>0</v>
      </c>
      <c r="L34" s="24">
        <f>E34*(1+C110)+I34+J34*(1+C112)</f>
        <v>0</v>
      </c>
      <c r="M34" s="154">
        <f>E34*(1+C119)+I34+J34</f>
        <v>0</v>
      </c>
    </row>
    <row r="35" spans="1:13" x14ac:dyDescent="0.25">
      <c r="A35" s="369"/>
      <c r="B35" s="5" t="s">
        <v>3</v>
      </c>
      <c r="C35" s="14"/>
      <c r="D35" s="14"/>
      <c r="E35" s="15">
        <f>C35*C108+C109*D35</f>
        <v>0</v>
      </c>
      <c r="F35" s="86"/>
      <c r="G35" s="86"/>
      <c r="H35" s="87"/>
      <c r="I35" s="16"/>
      <c r="J35" s="17"/>
      <c r="K35" s="15">
        <f t="shared" si="0"/>
        <v>0</v>
      </c>
      <c r="L35" s="15">
        <f>E35*(1+C110)+I35+J35*(1+C112)</f>
        <v>0</v>
      </c>
      <c r="M35" s="156">
        <f>E35*(1+C119)+I35+J35</f>
        <v>0</v>
      </c>
    </row>
    <row r="36" spans="1:13" x14ac:dyDescent="0.25">
      <c r="A36" s="369"/>
      <c r="B36" s="5" t="s">
        <v>4</v>
      </c>
      <c r="C36" s="14"/>
      <c r="D36" s="14"/>
      <c r="E36" s="15">
        <f>C36*C108+C109*D36</f>
        <v>0</v>
      </c>
      <c r="F36" s="86"/>
      <c r="G36" s="86"/>
      <c r="H36" s="87"/>
      <c r="I36" s="16"/>
      <c r="J36" s="17"/>
      <c r="K36" s="15">
        <f t="shared" si="0"/>
        <v>0</v>
      </c>
      <c r="L36" s="15">
        <f>E36*(1+C110)+I36+J36*(1+C112)</f>
        <v>0</v>
      </c>
      <c r="M36" s="156">
        <f>E36*(1+C119)+I36+J36</f>
        <v>0</v>
      </c>
    </row>
    <row r="37" spans="1:13" ht="15.75" thickBot="1" x14ac:dyDescent="0.3">
      <c r="A37" s="370"/>
      <c r="B37" s="33" t="s">
        <v>5</v>
      </c>
      <c r="C37" s="28"/>
      <c r="D37" s="28"/>
      <c r="E37" s="29">
        <f>C37*C108+C109*D37</f>
        <v>0</v>
      </c>
      <c r="F37" s="84"/>
      <c r="G37" s="84"/>
      <c r="H37" s="85"/>
      <c r="I37" s="30"/>
      <c r="J37" s="31"/>
      <c r="K37" s="29">
        <f t="shared" si="0"/>
        <v>0</v>
      </c>
      <c r="L37" s="29">
        <f>E37*(1+C110)+I37+J37*(1+C112)</f>
        <v>0</v>
      </c>
      <c r="M37" s="155">
        <f>E37*(1+C119)+I37+J37</f>
        <v>0</v>
      </c>
    </row>
    <row r="38" spans="1:13" x14ac:dyDescent="0.25">
      <c r="A38" s="368" t="s">
        <v>12</v>
      </c>
      <c r="B38" s="22" t="s">
        <v>6</v>
      </c>
      <c r="C38" s="23"/>
      <c r="D38" s="23"/>
      <c r="E38" s="24">
        <f>C38*C108+C109*D38</f>
        <v>0</v>
      </c>
      <c r="F38" s="82"/>
      <c r="G38" s="82"/>
      <c r="H38" s="83"/>
      <c r="I38" s="25"/>
      <c r="J38" s="26"/>
      <c r="K38" s="24">
        <f t="shared" si="0"/>
        <v>0</v>
      </c>
      <c r="L38" s="24">
        <f>E38*(1+C110)+I38+J38*(1+C112)</f>
        <v>0</v>
      </c>
      <c r="M38" s="154">
        <f>E38*(1+C119)+I38+J38</f>
        <v>0</v>
      </c>
    </row>
    <row r="39" spans="1:13" x14ac:dyDescent="0.25">
      <c r="A39" s="369"/>
      <c r="B39" s="8" t="s">
        <v>7</v>
      </c>
      <c r="C39" s="14"/>
      <c r="D39" s="14"/>
      <c r="E39" s="15">
        <f>C39*C108+C109*D39</f>
        <v>0</v>
      </c>
      <c r="F39" s="86"/>
      <c r="G39" s="86"/>
      <c r="H39" s="87"/>
      <c r="I39" s="16"/>
      <c r="J39" s="17"/>
      <c r="K39" s="15">
        <f t="shared" si="0"/>
        <v>0</v>
      </c>
      <c r="L39" s="15">
        <f>E39*(1+C110)+I39+J39*(1+C112)</f>
        <v>0</v>
      </c>
      <c r="M39" s="156">
        <f>E39*(1+C119)+I39+J39</f>
        <v>0</v>
      </c>
    </row>
    <row r="40" spans="1:13" x14ac:dyDescent="0.25">
      <c r="A40" s="369"/>
      <c r="B40" s="5" t="s">
        <v>8</v>
      </c>
      <c r="C40" s="14"/>
      <c r="D40" s="14"/>
      <c r="E40" s="15">
        <f>C40*C108+C109*D40</f>
        <v>0</v>
      </c>
      <c r="F40" s="86"/>
      <c r="G40" s="86"/>
      <c r="H40" s="87"/>
      <c r="I40" s="16"/>
      <c r="J40" s="17"/>
      <c r="K40" s="15">
        <f t="shared" si="0"/>
        <v>0</v>
      </c>
      <c r="L40" s="15">
        <f>E40*(1+C110)+I40+J40*(1+C112)</f>
        <v>0</v>
      </c>
      <c r="M40" s="156">
        <f>E40*(1+C119)+I40+J40</f>
        <v>0</v>
      </c>
    </row>
    <row r="41" spans="1:13" x14ac:dyDescent="0.25">
      <c r="A41" s="369"/>
      <c r="B41" s="186" t="s">
        <v>199</v>
      </c>
      <c r="C41" s="14"/>
      <c r="D41" s="14"/>
      <c r="E41" s="15">
        <f>C41*C108+C109*D41</f>
        <v>0</v>
      </c>
      <c r="F41" s="86"/>
      <c r="G41" s="86"/>
      <c r="H41" s="87"/>
      <c r="I41" s="16"/>
      <c r="J41" s="17"/>
      <c r="K41" s="15">
        <f t="shared" si="0"/>
        <v>0</v>
      </c>
      <c r="L41" s="15">
        <f>E41*(1+C110)+I41+J41*(1+C112)</f>
        <v>0</v>
      </c>
      <c r="M41" s="156">
        <f>E41*(1+C119)+I41+J41</f>
        <v>0</v>
      </c>
    </row>
    <row r="42" spans="1:13" x14ac:dyDescent="0.25">
      <c r="A42" s="369"/>
      <c r="B42" s="186" t="s">
        <v>199</v>
      </c>
      <c r="C42" s="14"/>
      <c r="D42" s="14"/>
      <c r="E42" s="15">
        <f>C42*C108+C109*D42</f>
        <v>0</v>
      </c>
      <c r="F42" s="86"/>
      <c r="G42" s="86"/>
      <c r="H42" s="87"/>
      <c r="I42" s="16"/>
      <c r="J42" s="17"/>
      <c r="K42" s="15">
        <f t="shared" si="0"/>
        <v>0</v>
      </c>
      <c r="L42" s="15">
        <f>E42*(1+C110)+I42+J42*(1+C112)</f>
        <v>0</v>
      </c>
      <c r="M42" s="156">
        <f>E42*(1+C119)+I42+J42</f>
        <v>0</v>
      </c>
    </row>
    <row r="43" spans="1:13" x14ac:dyDescent="0.25">
      <c r="A43" s="369"/>
      <c r="B43" s="186" t="s">
        <v>199</v>
      </c>
      <c r="C43" s="14"/>
      <c r="D43" s="14"/>
      <c r="E43" s="15">
        <f>C43*C108+C109*D43</f>
        <v>0</v>
      </c>
      <c r="F43" s="86"/>
      <c r="G43" s="86"/>
      <c r="H43" s="87"/>
      <c r="I43" s="16"/>
      <c r="J43" s="17"/>
      <c r="K43" s="15">
        <f t="shared" si="0"/>
        <v>0</v>
      </c>
      <c r="L43" s="15">
        <f>E43*(1+C110)+I43+J43*(1+C112)</f>
        <v>0</v>
      </c>
      <c r="M43" s="156">
        <f>E43*(1+C119)+I43+J43</f>
        <v>0</v>
      </c>
    </row>
    <row r="44" spans="1:13" x14ac:dyDescent="0.25">
      <c r="A44" s="369"/>
      <c r="B44" s="186" t="s">
        <v>199</v>
      </c>
      <c r="C44" s="14"/>
      <c r="D44" s="14"/>
      <c r="E44" s="15">
        <f>C44*C108+C109*D44</f>
        <v>0</v>
      </c>
      <c r="F44" s="86"/>
      <c r="G44" s="86"/>
      <c r="H44" s="87"/>
      <c r="I44" s="16"/>
      <c r="J44" s="17"/>
      <c r="K44" s="15">
        <f t="shared" si="0"/>
        <v>0</v>
      </c>
      <c r="L44" s="15">
        <f>E44*(1+C110)+I44+J44*(1+C112)</f>
        <v>0</v>
      </c>
      <c r="M44" s="156">
        <f>E44*(1+C119)+I44+J44</f>
        <v>0</v>
      </c>
    </row>
    <row r="45" spans="1:13" x14ac:dyDescent="0.25">
      <c r="A45" s="369"/>
      <c r="B45" s="7" t="s">
        <v>9</v>
      </c>
      <c r="C45" s="14"/>
      <c r="D45" s="14"/>
      <c r="E45" s="15">
        <f>C45*C108+C109*D45</f>
        <v>0</v>
      </c>
      <c r="F45" s="86"/>
      <c r="G45" s="86"/>
      <c r="H45" s="87"/>
      <c r="I45" s="16"/>
      <c r="J45" s="17"/>
      <c r="K45" s="15">
        <f t="shared" si="0"/>
        <v>0</v>
      </c>
      <c r="L45" s="15">
        <f>E45*(1+C110)+I45+J45*(1+C112)</f>
        <v>0</v>
      </c>
      <c r="M45" s="156">
        <f>E45*(1+C119)+I45+J45</f>
        <v>0</v>
      </c>
    </row>
    <row r="46" spans="1:13" x14ac:dyDescent="0.25">
      <c r="A46" s="371"/>
      <c r="B46" s="5" t="s">
        <v>10</v>
      </c>
      <c r="C46" s="219"/>
      <c r="D46" s="14"/>
      <c r="E46" s="15">
        <f>C46*C108+C109*D46</f>
        <v>0</v>
      </c>
      <c r="F46" s="86"/>
      <c r="G46" s="86"/>
      <c r="H46" s="87"/>
      <c r="I46" s="79"/>
      <c r="J46" s="78"/>
      <c r="K46" s="77">
        <f t="shared" si="0"/>
        <v>0</v>
      </c>
      <c r="L46" s="15">
        <f>E46*(1+C110)+I46+J46*(1+C112)</f>
        <v>0</v>
      </c>
      <c r="M46" s="156">
        <f>E46*(1+C119)+I46+J46</f>
        <v>0</v>
      </c>
    </row>
    <row r="47" spans="1:13" ht="15.75" thickBot="1" x14ac:dyDescent="0.3">
      <c r="A47" s="371"/>
      <c r="B47" s="222" t="s">
        <v>223</v>
      </c>
      <c r="C47" s="223"/>
      <c r="D47" s="224"/>
      <c r="E47" s="225">
        <f>C47*C108+C109*D47</f>
        <v>0</v>
      </c>
      <c r="F47" s="226"/>
      <c r="G47" s="226"/>
      <c r="H47" s="227"/>
      <c r="I47" s="228"/>
      <c r="J47" s="229"/>
      <c r="K47" s="225">
        <f t="shared" si="0"/>
        <v>0</v>
      </c>
      <c r="L47" s="225">
        <f>E47*(1+C110)+I47+J47*(1+C112)</f>
        <v>0</v>
      </c>
      <c r="M47" s="230">
        <f>E47*(1+C119)+I47+J47</f>
        <v>0</v>
      </c>
    </row>
    <row r="48" spans="1:13" ht="15.75" thickBot="1" x14ac:dyDescent="0.3">
      <c r="A48" s="371"/>
      <c r="B48" s="173" t="s">
        <v>26</v>
      </c>
      <c r="C48" s="172"/>
      <c r="D48" s="88"/>
      <c r="E48" s="89"/>
      <c r="F48" s="88"/>
      <c r="G48" s="88"/>
      <c r="H48" s="89"/>
      <c r="I48" s="220"/>
      <c r="J48" s="175"/>
      <c r="K48" s="221">
        <f t="shared" si="0"/>
        <v>0</v>
      </c>
      <c r="L48" s="77">
        <f>E48*(1+C110)+I48+J48*(1+C112)</f>
        <v>0</v>
      </c>
      <c r="M48" s="157">
        <f>E48*(1+C119)+I48+J48</f>
        <v>0</v>
      </c>
    </row>
    <row r="49" spans="1:13" ht="14.45" customHeight="1" thickBot="1" x14ac:dyDescent="0.3">
      <c r="A49" s="358" t="s">
        <v>15</v>
      </c>
      <c r="B49" s="400"/>
      <c r="C49" s="80">
        <f>SUM(C32:C48)</f>
        <v>0</v>
      </c>
      <c r="D49" s="80">
        <f>SUM(D32:D48)</f>
        <v>0</v>
      </c>
      <c r="E49" s="81">
        <f>SUM(E32:E46)</f>
        <v>0</v>
      </c>
      <c r="F49" s="90"/>
      <c r="G49" s="90"/>
      <c r="H49" s="91"/>
      <c r="I49" s="81">
        <f>SUM(I32:I46)</f>
        <v>0</v>
      </c>
      <c r="J49" s="174">
        <f>SUM(J32:J48)</f>
        <v>0</v>
      </c>
      <c r="K49" s="81">
        <f>SUM(K32:K48)</f>
        <v>0</v>
      </c>
      <c r="L49" s="81">
        <f>SUM(L32:L48)</f>
        <v>0</v>
      </c>
      <c r="M49" s="158">
        <f>SUM(M32:M48)</f>
        <v>0</v>
      </c>
    </row>
    <row r="50" spans="1:13" ht="29.45" customHeight="1" thickBot="1" x14ac:dyDescent="0.3">
      <c r="A50" s="361" t="s">
        <v>196</v>
      </c>
      <c r="B50" s="362"/>
      <c r="C50" s="362"/>
      <c r="D50" s="362"/>
      <c r="E50" s="362"/>
      <c r="F50" s="362"/>
      <c r="G50" s="362"/>
      <c r="H50" s="362"/>
      <c r="I50" s="325">
        <f>'Fiche de coûts'!I50</f>
        <v>1</v>
      </c>
      <c r="J50" s="361" t="s">
        <v>357</v>
      </c>
      <c r="K50" s="362"/>
      <c r="L50" s="179"/>
    </row>
    <row r="51" spans="1:13" ht="15.75" thickBot="1" x14ac:dyDescent="0.3">
      <c r="A51" s="358" t="s">
        <v>166</v>
      </c>
      <c r="B51" s="359"/>
      <c r="C51" s="80">
        <f>IF(I50=0,0,ROUND(C49/I50,0))</f>
        <v>0</v>
      </c>
      <c r="D51" s="80">
        <f>IF(I50=0,0,ROUND(D49/I50,0))</f>
        <v>0</v>
      </c>
      <c r="E51" s="81">
        <f>IF(I50=0,0,ROUND(E49/I50,0))</f>
        <v>0</v>
      </c>
      <c r="F51" s="90"/>
      <c r="G51" s="90"/>
      <c r="H51" s="91"/>
      <c r="I51" s="81">
        <f>IF(I50=0,0,ROUND(I49/I50,0))</f>
        <v>0</v>
      </c>
      <c r="J51" s="81">
        <f>IF(I50=0,0,ROUND(J49/I50,0))</f>
        <v>0</v>
      </c>
      <c r="K51" s="81">
        <f>IF(I50=0,0,ROUND(K49/I50,0))</f>
        <v>0</v>
      </c>
      <c r="L51" s="81">
        <f>IF(I50=0,0,ROUND(L49/I50,0))</f>
        <v>0</v>
      </c>
      <c r="M51" s="148">
        <f>IF(I50=0,0,ROUND(M49/I50,0))</f>
        <v>0</v>
      </c>
    </row>
    <row r="52" spans="1:13" ht="15.75" thickBot="1" x14ac:dyDescent="0.3">
      <c r="B52" s="124"/>
      <c r="C52" s="124"/>
      <c r="D52" s="124"/>
      <c r="E52" s="124"/>
      <c r="F52" s="363" t="s">
        <v>169</v>
      </c>
      <c r="G52" s="364"/>
      <c r="H52" s="365"/>
      <c r="I52" s="326">
        <f>'Fiche de coûts'!I52</f>
        <v>2</v>
      </c>
      <c r="J52" s="475" t="s">
        <v>357</v>
      </c>
      <c r="K52" s="476"/>
      <c r="L52" s="149"/>
    </row>
    <row r="53" spans="1:13" ht="15.75" thickBot="1" x14ac:dyDescent="0.3">
      <c r="A53" s="358" t="s">
        <v>170</v>
      </c>
      <c r="B53" s="359"/>
      <c r="C53" s="80">
        <f>ROUND(C51/I52,0)</f>
        <v>0</v>
      </c>
      <c r="D53" s="80">
        <f>ROUND(D51/I52,0)</f>
        <v>0</v>
      </c>
      <c r="E53" s="81">
        <f>ROUND(E51/I52,0)</f>
        <v>0</v>
      </c>
      <c r="F53" s="90"/>
      <c r="G53" s="90"/>
      <c r="H53" s="91"/>
      <c r="I53" s="81">
        <f>ROUND(I51/I52,0)</f>
        <v>0</v>
      </c>
      <c r="J53" s="81">
        <f>ROUND(J51/I52,0)</f>
        <v>0</v>
      </c>
      <c r="K53" s="81">
        <f>ROUND(K51/I52,0)</f>
        <v>0</v>
      </c>
      <c r="L53" s="81">
        <f>ROUND(L51/I52,0)</f>
        <v>0</v>
      </c>
      <c r="M53" s="148">
        <f>ROUND(M51/I52,0)</f>
        <v>0</v>
      </c>
    </row>
    <row r="54" spans="1:13" ht="15.75" thickBot="1" x14ac:dyDescent="0.3"/>
    <row r="55" spans="1:13" ht="15.75" thickBot="1" x14ac:dyDescent="0.3">
      <c r="A55" s="372" t="s">
        <v>168</v>
      </c>
      <c r="B55" s="373"/>
      <c r="C55" s="373"/>
      <c r="D55" s="373"/>
      <c r="E55" s="373"/>
      <c r="F55" s="373"/>
      <c r="G55" s="373"/>
      <c r="H55" s="373"/>
      <c r="I55" s="373"/>
      <c r="J55" s="373"/>
      <c r="K55" s="373"/>
      <c r="L55" s="373"/>
      <c r="M55" s="374"/>
    </row>
    <row r="56" spans="1:13" x14ac:dyDescent="0.25">
      <c r="A56" s="369" t="s">
        <v>32</v>
      </c>
      <c r="B56" s="138" t="s">
        <v>33</v>
      </c>
      <c r="C56" s="139"/>
      <c r="D56" s="139"/>
      <c r="E56" s="140">
        <f>C56*C108+C109*D56</f>
        <v>0</v>
      </c>
      <c r="F56" s="141"/>
      <c r="G56" s="141"/>
      <c r="H56" s="142"/>
      <c r="I56" s="143"/>
      <c r="J56" s="144"/>
      <c r="K56" s="140">
        <f t="shared" ref="K56:K96" si="1">SUM(E56:J56)-F56-G56</f>
        <v>0</v>
      </c>
      <c r="L56" s="150">
        <f>E56*(1+C110)+I56+J56*(1+C112)</f>
        <v>0</v>
      </c>
      <c r="M56" s="159">
        <f>E56*(1+C119)+I56+J56</f>
        <v>0</v>
      </c>
    </row>
    <row r="57" spans="1:13" x14ac:dyDescent="0.25">
      <c r="A57" s="369"/>
      <c r="B57" s="5" t="s">
        <v>34</v>
      </c>
      <c r="C57" s="14"/>
      <c r="D57" s="14"/>
      <c r="E57" s="15">
        <f>C57*C108+C109*D57</f>
        <v>0</v>
      </c>
      <c r="F57" s="86"/>
      <c r="G57" s="86"/>
      <c r="H57" s="87"/>
      <c r="I57" s="16"/>
      <c r="J57" s="17"/>
      <c r="K57" s="15">
        <f t="shared" si="1"/>
        <v>0</v>
      </c>
      <c r="L57" s="77">
        <f>E57*(1+C110)+I57+J57*(1+C112)</f>
        <v>0</v>
      </c>
      <c r="M57" s="156">
        <f>E57*(1+C119)+I57+J57</f>
        <v>0</v>
      </c>
    </row>
    <row r="58" spans="1:13" x14ac:dyDescent="0.25">
      <c r="A58" s="369"/>
      <c r="B58" s="5" t="s">
        <v>35</v>
      </c>
      <c r="C58" s="14"/>
      <c r="D58" s="14"/>
      <c r="E58" s="15">
        <f>C58*C108+C109*D58</f>
        <v>0</v>
      </c>
      <c r="F58" s="86"/>
      <c r="G58" s="86"/>
      <c r="H58" s="87"/>
      <c r="I58" s="16"/>
      <c r="J58" s="17"/>
      <c r="K58" s="15">
        <f t="shared" si="1"/>
        <v>0</v>
      </c>
      <c r="L58" s="77">
        <f>E58*(1+C110)+I58+J58*(1+C112)</f>
        <v>0</v>
      </c>
      <c r="M58" s="156">
        <f>E58*(1+C119)+I58+J58</f>
        <v>0</v>
      </c>
    </row>
    <row r="59" spans="1:13" x14ac:dyDescent="0.25">
      <c r="A59" s="369"/>
      <c r="B59" s="5" t="s">
        <v>36</v>
      </c>
      <c r="C59" s="14"/>
      <c r="D59" s="14"/>
      <c r="E59" s="15">
        <f>C59*C108+C109*D59</f>
        <v>0</v>
      </c>
      <c r="F59" s="86"/>
      <c r="G59" s="86"/>
      <c r="H59" s="87"/>
      <c r="I59" s="16"/>
      <c r="J59" s="17"/>
      <c r="K59" s="15">
        <f t="shared" si="1"/>
        <v>0</v>
      </c>
      <c r="L59" s="77">
        <f>E59*(1+C110)+I59+J59*(1+C112)</f>
        <v>0</v>
      </c>
      <c r="M59" s="156">
        <f>E59*(1+C119)+I59+J59</f>
        <v>0</v>
      </c>
    </row>
    <row r="60" spans="1:13" x14ac:dyDescent="0.25">
      <c r="A60" s="369"/>
      <c r="B60" s="5" t="s">
        <v>37</v>
      </c>
      <c r="C60" s="14"/>
      <c r="D60" s="14"/>
      <c r="E60" s="15">
        <f>C60*C108+C109*D60</f>
        <v>0</v>
      </c>
      <c r="F60" s="86"/>
      <c r="G60" s="86"/>
      <c r="H60" s="87"/>
      <c r="I60" s="16"/>
      <c r="J60" s="17"/>
      <c r="K60" s="15">
        <f t="shared" si="1"/>
        <v>0</v>
      </c>
      <c r="L60" s="77">
        <f>E60*(1+C110)+I60+J60*(1+C112)</f>
        <v>0</v>
      </c>
      <c r="M60" s="156">
        <f>E60*(1+C119)+I60+J60</f>
        <v>0</v>
      </c>
    </row>
    <row r="61" spans="1:13" x14ac:dyDescent="0.25">
      <c r="A61" s="367"/>
      <c r="B61" s="6" t="s">
        <v>38</v>
      </c>
      <c r="C61" s="14"/>
      <c r="D61" s="14"/>
      <c r="E61" s="15">
        <f>C61*C108+C109*D61</f>
        <v>0</v>
      </c>
      <c r="F61" s="86"/>
      <c r="G61" s="86"/>
      <c r="H61" s="87"/>
      <c r="I61" s="16"/>
      <c r="J61" s="17"/>
      <c r="K61" s="15">
        <f t="shared" si="1"/>
        <v>0</v>
      </c>
      <c r="L61" s="77">
        <f>E61*(1+C110)+I61+J61*(1+C112)</f>
        <v>0</v>
      </c>
      <c r="M61" s="156">
        <f>E61*(1+C119)+I61+J61</f>
        <v>0</v>
      </c>
    </row>
    <row r="62" spans="1:13" x14ac:dyDescent="0.25">
      <c r="A62" s="375" t="s">
        <v>201</v>
      </c>
      <c r="B62" s="186" t="s">
        <v>202</v>
      </c>
      <c r="C62" s="14"/>
      <c r="D62" s="14"/>
      <c r="E62" s="15">
        <f>C62*C108+C109*D62</f>
        <v>0</v>
      </c>
      <c r="F62" s="86"/>
      <c r="G62" s="86"/>
      <c r="H62" s="87"/>
      <c r="I62" s="16"/>
      <c r="J62" s="17"/>
      <c r="K62" s="15">
        <f t="shared" si="1"/>
        <v>0</v>
      </c>
      <c r="L62" s="77">
        <f>E62*(1+C110)+I62+J62*(1+C112)</f>
        <v>0</v>
      </c>
      <c r="M62" s="156">
        <f>E62*(1+C119)+I62+J62</f>
        <v>0</v>
      </c>
    </row>
    <row r="63" spans="1:13" x14ac:dyDescent="0.25">
      <c r="A63" s="376"/>
      <c r="B63" s="186" t="s">
        <v>202</v>
      </c>
      <c r="C63" s="14"/>
      <c r="D63" s="14"/>
      <c r="E63" s="15">
        <f>C63*C108+C109*D63</f>
        <v>0</v>
      </c>
      <c r="F63" s="86"/>
      <c r="G63" s="86"/>
      <c r="H63" s="87"/>
      <c r="I63" s="16"/>
      <c r="J63" s="17"/>
      <c r="K63" s="15">
        <f t="shared" si="1"/>
        <v>0</v>
      </c>
      <c r="L63" s="77">
        <f>E63*(1+C110)+I63+J63*(1+C112)</f>
        <v>0</v>
      </c>
      <c r="M63" s="156">
        <f>E63*(1+C119)+I63+J63</f>
        <v>0</v>
      </c>
    </row>
    <row r="64" spans="1:13" x14ac:dyDescent="0.25">
      <c r="A64" s="376"/>
      <c r="B64" s="186" t="s">
        <v>202</v>
      </c>
      <c r="C64" s="14"/>
      <c r="D64" s="14"/>
      <c r="E64" s="15">
        <f>C64*C108+C109*D64</f>
        <v>0</v>
      </c>
      <c r="F64" s="86"/>
      <c r="G64" s="86"/>
      <c r="H64" s="87"/>
      <c r="I64" s="16"/>
      <c r="J64" s="17"/>
      <c r="K64" s="15">
        <f t="shared" si="1"/>
        <v>0</v>
      </c>
      <c r="L64" s="77">
        <f>E64*(1+C110)+I64+J64*(1+C112)</f>
        <v>0</v>
      </c>
      <c r="M64" s="156">
        <f>E64*(1+C119)+I64+J64</f>
        <v>0</v>
      </c>
    </row>
    <row r="65" spans="1:13" x14ac:dyDescent="0.25">
      <c r="A65" s="376"/>
      <c r="B65" s="186" t="s">
        <v>202</v>
      </c>
      <c r="C65" s="14"/>
      <c r="D65" s="14"/>
      <c r="E65" s="15">
        <f>C65*C108+C109*D65</f>
        <v>0</v>
      </c>
      <c r="F65" s="86"/>
      <c r="G65" s="86"/>
      <c r="H65" s="87"/>
      <c r="I65" s="16"/>
      <c r="J65" s="17"/>
      <c r="K65" s="15">
        <f t="shared" si="1"/>
        <v>0</v>
      </c>
      <c r="L65" s="77">
        <f>E65*(1+C110)+I65+J65*(1+C112)</f>
        <v>0</v>
      </c>
      <c r="M65" s="156">
        <f>E65*(1+C119)+I65+J65</f>
        <v>0</v>
      </c>
    </row>
    <row r="66" spans="1:13" x14ac:dyDescent="0.25">
      <c r="A66" s="377"/>
      <c r="B66" s="186" t="s">
        <v>202</v>
      </c>
      <c r="C66" s="14"/>
      <c r="D66" s="14"/>
      <c r="E66" s="15">
        <f>C66*C108+C109*D66</f>
        <v>0</v>
      </c>
      <c r="F66" s="86"/>
      <c r="G66" s="86"/>
      <c r="H66" s="87"/>
      <c r="I66" s="16"/>
      <c r="J66" s="17"/>
      <c r="K66" s="15">
        <f t="shared" si="1"/>
        <v>0</v>
      </c>
      <c r="L66" s="77">
        <f>E66*(1+C110)+I66+J66*(1+C112)</f>
        <v>0</v>
      </c>
      <c r="M66" s="156">
        <f>E66*(1+C119)+I66+J66</f>
        <v>0</v>
      </c>
    </row>
    <row r="67" spans="1:13" x14ac:dyDescent="0.25">
      <c r="A67" s="366" t="s">
        <v>39</v>
      </c>
      <c r="B67" s="7" t="s">
        <v>40</v>
      </c>
      <c r="C67" s="14"/>
      <c r="D67" s="14"/>
      <c r="E67" s="15">
        <f>C67*C108+C109*D67</f>
        <v>0</v>
      </c>
      <c r="F67" s="17"/>
      <c r="G67" s="17"/>
      <c r="H67" s="15">
        <f>F67*C116+C113*G67</f>
        <v>0</v>
      </c>
      <c r="I67" s="16"/>
      <c r="J67" s="17"/>
      <c r="K67" s="15">
        <f t="shared" si="1"/>
        <v>0</v>
      </c>
      <c r="L67" s="77">
        <f>E67*(1+C110)+H67*(1+C111)+I67+J67*(1+C112)</f>
        <v>0</v>
      </c>
      <c r="M67" s="156">
        <f>E67*(1+C119)+H67*(1+C119)+I67+J67</f>
        <v>0</v>
      </c>
    </row>
    <row r="68" spans="1:13" x14ac:dyDescent="0.25">
      <c r="A68" s="369"/>
      <c r="B68" s="7" t="s">
        <v>41</v>
      </c>
      <c r="C68" s="14"/>
      <c r="D68" s="14"/>
      <c r="E68" s="15">
        <f>C68*C108+C109*D68</f>
        <v>0</v>
      </c>
      <c r="F68" s="17"/>
      <c r="G68" s="17"/>
      <c r="H68" s="15">
        <f>F68*C117+C114*G68</f>
        <v>0</v>
      </c>
      <c r="I68" s="16"/>
      <c r="J68" s="17"/>
      <c r="K68" s="15">
        <f t="shared" si="1"/>
        <v>0</v>
      </c>
      <c r="L68" s="77">
        <f>E68*(1+C110)+H68*(1+C111)+I68+J68*(1+C112)</f>
        <v>0</v>
      </c>
      <c r="M68" s="156">
        <f>E68*(1+C119)+H68*(1+C119)+I68+J68</f>
        <v>0</v>
      </c>
    </row>
    <row r="69" spans="1:13" x14ac:dyDescent="0.25">
      <c r="A69" s="369"/>
      <c r="B69" s="7" t="s">
        <v>42</v>
      </c>
      <c r="C69" s="14"/>
      <c r="D69" s="14"/>
      <c r="E69" s="15">
        <f>C69*C108+C109*D69</f>
        <v>0</v>
      </c>
      <c r="F69" s="17"/>
      <c r="G69" s="17"/>
      <c r="H69" s="15">
        <f>F69*C118+C115*G69</f>
        <v>0</v>
      </c>
      <c r="I69" s="16"/>
      <c r="J69" s="17"/>
      <c r="K69" s="15">
        <f t="shared" si="1"/>
        <v>0</v>
      </c>
      <c r="L69" s="77">
        <f>E69*(1+C110)+H69*(1+C111)+I69+J69*(1+C112)</f>
        <v>0</v>
      </c>
      <c r="M69" s="156">
        <f>E69*(1+C119)+H69*(1+C119)+I69+J69</f>
        <v>0</v>
      </c>
    </row>
    <row r="70" spans="1:13" ht="15.75" thickBot="1" x14ac:dyDescent="0.3">
      <c r="A70" s="369"/>
      <c r="B70" s="170" t="s">
        <v>43</v>
      </c>
      <c r="C70" s="14"/>
      <c r="D70" s="14"/>
      <c r="E70" s="15">
        <f>C70*C108+C109*D70</f>
        <v>0</v>
      </c>
      <c r="F70" s="87"/>
      <c r="G70" s="87"/>
      <c r="H70" s="92"/>
      <c r="I70" s="16"/>
      <c r="J70" s="78"/>
      <c r="K70" s="15">
        <f t="shared" si="1"/>
        <v>0</v>
      </c>
      <c r="L70" s="77">
        <f>E70*(1+C110)+I70+J70*(1+C112)</f>
        <v>0</v>
      </c>
      <c r="M70" s="156">
        <f>E70*(1+C119)+I70+J70</f>
        <v>0</v>
      </c>
    </row>
    <row r="71" spans="1:13" ht="16.5" thickTop="1" thickBot="1" x14ac:dyDescent="0.3">
      <c r="A71" s="389"/>
      <c r="B71" s="171" t="s">
        <v>193</v>
      </c>
      <c r="C71" s="169"/>
      <c r="D71" s="86"/>
      <c r="E71" s="87"/>
      <c r="F71" s="87"/>
      <c r="G71" s="87"/>
      <c r="H71" s="92"/>
      <c r="I71" s="176"/>
      <c r="J71" s="168"/>
      <c r="K71" s="167">
        <f t="shared" si="1"/>
        <v>0</v>
      </c>
      <c r="L71" s="77">
        <f>E71*(1+C110)+I71+J71*(1+C112)</f>
        <v>0</v>
      </c>
      <c r="M71" s="156">
        <f>E71*(1+C119)+I71+J71</f>
        <v>0</v>
      </c>
    </row>
    <row r="72" spans="1:13" ht="15.75" thickTop="1" x14ac:dyDescent="0.25">
      <c r="A72" s="366" t="s">
        <v>55</v>
      </c>
      <c r="B72" s="138" t="s">
        <v>56</v>
      </c>
      <c r="C72" s="36"/>
      <c r="D72" s="36"/>
      <c r="E72" s="15">
        <f>C72*C108+C109*D72</f>
        <v>0</v>
      </c>
      <c r="F72" s="87"/>
      <c r="G72" s="87"/>
      <c r="H72" s="92"/>
      <c r="I72" s="16"/>
      <c r="J72" s="144"/>
      <c r="K72" s="15">
        <f t="shared" si="1"/>
        <v>0</v>
      </c>
      <c r="L72" s="77">
        <f>E72*(1+C110)+I72+J72*(1+C112)</f>
        <v>0</v>
      </c>
      <c r="M72" s="156">
        <f>E72*(1+C119)+I72+J72</f>
        <v>0</v>
      </c>
    </row>
    <row r="73" spans="1:13" x14ac:dyDescent="0.25">
      <c r="A73" s="367"/>
      <c r="B73" s="5" t="s">
        <v>57</v>
      </c>
      <c r="C73" s="36"/>
      <c r="D73" s="36"/>
      <c r="E73" s="15">
        <f>C73*C108+C109*D73</f>
        <v>0</v>
      </c>
      <c r="F73" s="87"/>
      <c r="G73" s="87"/>
      <c r="H73" s="92"/>
      <c r="I73" s="16"/>
      <c r="J73" s="17"/>
      <c r="K73" s="15">
        <f t="shared" si="1"/>
        <v>0</v>
      </c>
      <c r="L73" s="77">
        <f>E73*(1+C110)+I73+J73*(1+C112)</f>
        <v>0</v>
      </c>
      <c r="M73" s="156">
        <f>E73*(1+C119)+I73+J73</f>
        <v>0</v>
      </c>
    </row>
    <row r="74" spans="1:13" x14ac:dyDescent="0.25">
      <c r="A74" s="366" t="s">
        <v>58</v>
      </c>
      <c r="B74" s="5" t="s">
        <v>60</v>
      </c>
      <c r="C74" s="36"/>
      <c r="D74" s="36"/>
      <c r="E74" s="15">
        <f>C74*C108+C109*D74</f>
        <v>0</v>
      </c>
      <c r="F74" s="87"/>
      <c r="G74" s="87"/>
      <c r="H74" s="92"/>
      <c r="I74" s="16"/>
      <c r="J74" s="17"/>
      <c r="K74" s="15">
        <f t="shared" si="1"/>
        <v>0</v>
      </c>
      <c r="L74" s="77">
        <f>E74*(1+C110)+I74+J74*(1+C112)</f>
        <v>0</v>
      </c>
      <c r="M74" s="156">
        <f>E74*(1+C119)+I74+J74</f>
        <v>0</v>
      </c>
    </row>
    <row r="75" spans="1:13" x14ac:dyDescent="0.25">
      <c r="A75" s="367"/>
      <c r="B75" s="5" t="s">
        <v>59</v>
      </c>
      <c r="C75" s="36"/>
      <c r="D75" s="36"/>
      <c r="E75" s="15">
        <f>C75*C108+C109*D75</f>
        <v>0</v>
      </c>
      <c r="F75" s="87"/>
      <c r="G75" s="87"/>
      <c r="H75" s="92"/>
      <c r="I75" s="16"/>
      <c r="J75" s="17"/>
      <c r="K75" s="15">
        <f t="shared" si="1"/>
        <v>0</v>
      </c>
      <c r="L75" s="77">
        <f>E75*(1+C110)+I75+J75*(1+C112)</f>
        <v>0</v>
      </c>
      <c r="M75" s="156">
        <f>E75*(1+C119)+I75+J75</f>
        <v>0</v>
      </c>
    </row>
    <row r="76" spans="1:13" ht="30" x14ac:dyDescent="0.25">
      <c r="A76" s="274" t="s">
        <v>133</v>
      </c>
      <c r="B76" s="7" t="s">
        <v>134</v>
      </c>
      <c r="C76" s="86"/>
      <c r="D76" s="86"/>
      <c r="E76" s="87"/>
      <c r="F76" s="87"/>
      <c r="G76" s="87"/>
      <c r="H76" s="92"/>
      <c r="I76" s="17"/>
      <c r="J76" s="15">
        <f>'Coûts installations part2'!D10</f>
        <v>0</v>
      </c>
      <c r="K76" s="15">
        <f t="shared" si="1"/>
        <v>0</v>
      </c>
      <c r="L76" s="77">
        <f>E76*(1+C110)+I76+J76*(1+C112)</f>
        <v>0</v>
      </c>
      <c r="M76" s="156">
        <f>E76*(1+C119)+I76+J76</f>
        <v>0</v>
      </c>
    </row>
    <row r="77" spans="1:13" x14ac:dyDescent="0.25">
      <c r="A77" s="276"/>
      <c r="B77" s="5" t="s">
        <v>67</v>
      </c>
      <c r="C77" s="86"/>
      <c r="D77" s="86"/>
      <c r="E77" s="87"/>
      <c r="F77" s="87"/>
      <c r="G77" s="87"/>
      <c r="H77" s="92"/>
      <c r="I77" s="17"/>
      <c r="J77" s="17"/>
      <c r="K77" s="15">
        <f t="shared" si="1"/>
        <v>0</v>
      </c>
      <c r="L77" s="77">
        <f>E77*(1+C110)+I77+J77*(1+C112)</f>
        <v>0</v>
      </c>
      <c r="M77" s="156">
        <f>E77*(1+C119)+I77+J77</f>
        <v>0</v>
      </c>
    </row>
    <row r="78" spans="1:13" ht="30" x14ac:dyDescent="0.25">
      <c r="A78" s="276"/>
      <c r="B78" s="7" t="s">
        <v>135</v>
      </c>
      <c r="C78" s="86"/>
      <c r="D78" s="86"/>
      <c r="E78" s="87"/>
      <c r="F78" s="87"/>
      <c r="G78" s="87"/>
      <c r="H78" s="92"/>
      <c r="I78" s="17"/>
      <c r="J78" s="15">
        <f>'Coûts installations part2'!D13</f>
        <v>0</v>
      </c>
      <c r="K78" s="15">
        <f t="shared" si="1"/>
        <v>0</v>
      </c>
      <c r="L78" s="77">
        <f>E78*(1+C110)+I78+J78*(1+C112)</f>
        <v>0</v>
      </c>
      <c r="M78" s="156">
        <f>E78*(1+C119)+I78+J78</f>
        <v>0</v>
      </c>
    </row>
    <row r="79" spans="1:13" x14ac:dyDescent="0.25">
      <c r="A79" s="275"/>
      <c r="B79" s="5" t="s">
        <v>126</v>
      </c>
      <c r="C79" s="86"/>
      <c r="D79" s="86"/>
      <c r="E79" s="87"/>
      <c r="F79" s="87"/>
      <c r="G79" s="87"/>
      <c r="H79" s="92"/>
      <c r="I79" s="17"/>
      <c r="J79" s="17"/>
      <c r="K79" s="15">
        <f t="shared" si="1"/>
        <v>0</v>
      </c>
      <c r="L79" s="77">
        <f>E79*(1+C110)+I79+J79*(1+C112)</f>
        <v>0</v>
      </c>
      <c r="M79" s="156">
        <f>E79*(1+C119)+I79+J79</f>
        <v>0</v>
      </c>
    </row>
    <row r="80" spans="1:13" x14ac:dyDescent="0.25">
      <c r="A80" s="366" t="s">
        <v>142</v>
      </c>
      <c r="B80" s="5" t="s">
        <v>139</v>
      </c>
      <c r="C80" s="86"/>
      <c r="D80" s="86"/>
      <c r="E80" s="87"/>
      <c r="F80" s="87"/>
      <c r="G80" s="87"/>
      <c r="H80" s="92"/>
      <c r="I80" s="16"/>
      <c r="J80" s="15">
        <f>'Coûts frais variables part2'!E12</f>
        <v>0</v>
      </c>
      <c r="K80" s="15">
        <f t="shared" si="1"/>
        <v>0</v>
      </c>
      <c r="L80" s="77">
        <f>E80*(1+C110)+I80+J80*(1+C112)</f>
        <v>0</v>
      </c>
      <c r="M80" s="156">
        <f>E80*(1+C119)+I80+J80</f>
        <v>0</v>
      </c>
    </row>
    <row r="81" spans="1:13" x14ac:dyDescent="0.25">
      <c r="A81" s="369"/>
      <c r="B81" s="5" t="s">
        <v>127</v>
      </c>
      <c r="C81" s="86"/>
      <c r="D81" s="86"/>
      <c r="E81" s="87"/>
      <c r="F81" s="87"/>
      <c r="G81" s="87"/>
      <c r="H81" s="92"/>
      <c r="I81" s="16"/>
      <c r="J81" s="15">
        <f>'Coûts frais variables part2'!E13</f>
        <v>0</v>
      </c>
      <c r="K81" s="15">
        <f t="shared" si="1"/>
        <v>0</v>
      </c>
      <c r="L81" s="77">
        <f>E81*(1+C110)+I81+J81*(1+C112)</f>
        <v>0</v>
      </c>
      <c r="M81" s="156">
        <f>E81*(1+C119)+I81+J81</f>
        <v>0</v>
      </c>
    </row>
    <row r="82" spans="1:13" x14ac:dyDescent="0.25">
      <c r="A82" s="369"/>
      <c r="B82" s="5" t="s">
        <v>136</v>
      </c>
      <c r="C82" s="86"/>
      <c r="D82" s="86"/>
      <c r="E82" s="87"/>
      <c r="F82" s="87"/>
      <c r="G82" s="87"/>
      <c r="H82" s="92"/>
      <c r="I82" s="16"/>
      <c r="J82" s="15">
        <f>'Coûts frais variables part2'!E14</f>
        <v>0</v>
      </c>
      <c r="K82" s="15">
        <f t="shared" si="1"/>
        <v>0</v>
      </c>
      <c r="L82" s="77">
        <f>E82*(1+C110)+I82+J82*(1+C112)</f>
        <v>0</v>
      </c>
      <c r="M82" s="156">
        <f>E82*(1+C119)+I82+J82</f>
        <v>0</v>
      </c>
    </row>
    <row r="83" spans="1:13" x14ac:dyDescent="0.25">
      <c r="A83" s="369"/>
      <c r="B83" s="6" t="s">
        <v>141</v>
      </c>
      <c r="C83" s="86"/>
      <c r="D83" s="86"/>
      <c r="E83" s="87"/>
      <c r="F83" s="87"/>
      <c r="G83" s="87"/>
      <c r="H83" s="92"/>
      <c r="I83" s="16"/>
      <c r="J83" s="15">
        <f>'Coûts frais variables part2'!E15</f>
        <v>0</v>
      </c>
      <c r="K83" s="15">
        <f t="shared" si="1"/>
        <v>0</v>
      </c>
      <c r="L83" s="77">
        <f>E83*(1+C110)+I83+J83*(1+C112)</f>
        <v>0</v>
      </c>
      <c r="M83" s="156">
        <f>E83*(1+C119)+I83+J83</f>
        <v>0</v>
      </c>
    </row>
    <row r="84" spans="1:13" x14ac:dyDescent="0.25">
      <c r="A84" s="369"/>
      <c r="B84" s="6" t="s">
        <v>140</v>
      </c>
      <c r="C84" s="86"/>
      <c r="D84" s="86"/>
      <c r="E84" s="87"/>
      <c r="F84" s="87"/>
      <c r="G84" s="87"/>
      <c r="H84" s="92"/>
      <c r="I84" s="16"/>
      <c r="J84" s="130">
        <f>'Coûts frais variables part2'!E8</f>
        <v>0</v>
      </c>
      <c r="K84" s="15">
        <f t="shared" si="1"/>
        <v>0</v>
      </c>
      <c r="L84" s="77">
        <f>E84*(1+C110)+I84+J84*(1+C112)</f>
        <v>0</v>
      </c>
      <c r="M84" s="156">
        <f>E84*(1+C119)+I84+J84</f>
        <v>0</v>
      </c>
    </row>
    <row r="85" spans="1:13" x14ac:dyDescent="0.25">
      <c r="A85" s="369"/>
      <c r="B85" s="185" t="str">
        <f>'Coûts frais variables part2'!A16</f>
        <v>Libellé libre frais variable à saisir si besoin (onglet frais var)</v>
      </c>
      <c r="C85" s="86"/>
      <c r="D85" s="86"/>
      <c r="E85" s="87"/>
      <c r="F85" s="87"/>
      <c r="G85" s="87"/>
      <c r="H85" s="92"/>
      <c r="I85" s="16"/>
      <c r="J85" s="130">
        <f>'Coûts frais variables part2'!E16</f>
        <v>0</v>
      </c>
      <c r="K85" s="15">
        <f t="shared" si="1"/>
        <v>0</v>
      </c>
      <c r="L85" s="77">
        <f>E85*(1+C110)+I85+J85*(1+C112)</f>
        <v>0</v>
      </c>
      <c r="M85" s="156">
        <f>E85*(1+C119)+I85+J85</f>
        <v>0</v>
      </c>
    </row>
    <row r="86" spans="1:13" x14ac:dyDescent="0.25">
      <c r="A86" s="369"/>
      <c r="B86" s="185" t="str">
        <f>'Coûts frais variables part2'!A17</f>
        <v>Libellé libre frais variable à saisir si besoin (onglet frais var)</v>
      </c>
      <c r="C86" s="86"/>
      <c r="D86" s="86"/>
      <c r="E86" s="87"/>
      <c r="F86" s="87"/>
      <c r="G86" s="87"/>
      <c r="H86" s="92"/>
      <c r="I86" s="16"/>
      <c r="J86" s="130">
        <f>'Coûts frais variables part2'!E17</f>
        <v>0</v>
      </c>
      <c r="K86" s="15">
        <f t="shared" si="1"/>
        <v>0</v>
      </c>
      <c r="L86" s="77">
        <f>E86*(1+C110)+I86+J86*(1+C112)</f>
        <v>0</v>
      </c>
      <c r="M86" s="156">
        <f>E86*(1+C119)+I86+J86</f>
        <v>0</v>
      </c>
    </row>
    <row r="87" spans="1:13" x14ac:dyDescent="0.25">
      <c r="A87" s="369"/>
      <c r="B87" s="185" t="str">
        <f>'Coûts frais variables part2'!A18</f>
        <v>Libellé libre frais variable à saisir si besoin (onglet frais var)</v>
      </c>
      <c r="C87" s="86"/>
      <c r="D87" s="86"/>
      <c r="E87" s="87"/>
      <c r="F87" s="87"/>
      <c r="G87" s="87"/>
      <c r="H87" s="92"/>
      <c r="I87" s="16"/>
      <c r="J87" s="130">
        <f>'Coûts frais variables part2'!E18</f>
        <v>0</v>
      </c>
      <c r="K87" s="15">
        <f t="shared" si="1"/>
        <v>0</v>
      </c>
      <c r="L87" s="77">
        <f>E87*(1+C110)+I87+J87*(1+C112)</f>
        <v>0</v>
      </c>
      <c r="M87" s="156">
        <f>E87*(1+C119)+I87+J87</f>
        <v>0</v>
      </c>
    </row>
    <row r="88" spans="1:13" x14ac:dyDescent="0.25">
      <c r="A88" s="369"/>
      <c r="B88" s="185" t="str">
        <f>'Coûts frais variables part2'!A19</f>
        <v>Libellé libre frais variable à saisir si besoin (onglet frais var)</v>
      </c>
      <c r="C88" s="86"/>
      <c r="D88" s="86"/>
      <c r="E88" s="87"/>
      <c r="F88" s="87"/>
      <c r="G88" s="87"/>
      <c r="H88" s="92"/>
      <c r="I88" s="16"/>
      <c r="J88" s="130">
        <f>'Coûts frais variables part2'!E19</f>
        <v>0</v>
      </c>
      <c r="K88" s="15">
        <f t="shared" si="1"/>
        <v>0</v>
      </c>
      <c r="L88" s="77">
        <f>E88*(1+C110)+I88+J88*(1+C112)</f>
        <v>0</v>
      </c>
      <c r="M88" s="156">
        <f>E88*(1+C119)+I88+J88</f>
        <v>0</v>
      </c>
    </row>
    <row r="89" spans="1:13" x14ac:dyDescent="0.25">
      <c r="A89" s="366" t="s">
        <v>164</v>
      </c>
      <c r="B89" s="5" t="s">
        <v>156</v>
      </c>
      <c r="C89" s="14"/>
      <c r="D89" s="14"/>
      <c r="E89" s="15">
        <f>C89*C108+C109*D89</f>
        <v>0</v>
      </c>
      <c r="F89" s="87"/>
      <c r="G89" s="87"/>
      <c r="H89" s="92"/>
      <c r="I89" s="16"/>
      <c r="J89" s="17"/>
      <c r="K89" s="15">
        <f t="shared" si="1"/>
        <v>0</v>
      </c>
      <c r="L89" s="77">
        <f>E89*(1+C110)+I89+J89*(1+C112)</f>
        <v>0</v>
      </c>
      <c r="M89" s="156">
        <f>E89*(1+C119)+I89+J89</f>
        <v>0</v>
      </c>
    </row>
    <row r="90" spans="1:13" x14ac:dyDescent="0.25">
      <c r="A90" s="369"/>
      <c r="B90" s="8" t="s">
        <v>163</v>
      </c>
      <c r="C90" s="14"/>
      <c r="D90" s="14"/>
      <c r="E90" s="15">
        <f>C90*C108+C109*D90</f>
        <v>0</v>
      </c>
      <c r="F90" s="87"/>
      <c r="G90" s="87"/>
      <c r="H90" s="92"/>
      <c r="I90" s="16"/>
      <c r="J90" s="17"/>
      <c r="K90" s="15">
        <f t="shared" si="1"/>
        <v>0</v>
      </c>
      <c r="L90" s="77">
        <f>E90*(1+C110)+I90+J90*(1+C112)</f>
        <v>0</v>
      </c>
      <c r="M90" s="156">
        <f>E90*(1+C119)+I90+J90</f>
        <v>0</v>
      </c>
    </row>
    <row r="91" spans="1:13" x14ac:dyDescent="0.25">
      <c r="A91" s="369"/>
      <c r="B91" s="8" t="s">
        <v>157</v>
      </c>
      <c r="C91" s="14"/>
      <c r="D91" s="14"/>
      <c r="E91" s="15">
        <f>C91*C108+C109*D91</f>
        <v>0</v>
      </c>
      <c r="F91" s="87"/>
      <c r="G91" s="87"/>
      <c r="H91" s="92"/>
      <c r="I91" s="16"/>
      <c r="J91" s="17"/>
      <c r="K91" s="15">
        <f t="shared" si="1"/>
        <v>0</v>
      </c>
      <c r="L91" s="77">
        <f>E91*(1+C110)+I91+J91*(1+C112)</f>
        <v>0</v>
      </c>
      <c r="M91" s="156">
        <f>E91*(1+C119)+I91+J91</f>
        <v>0</v>
      </c>
    </row>
    <row r="92" spans="1:13" x14ac:dyDescent="0.25">
      <c r="A92" s="369"/>
      <c r="B92" s="8" t="s">
        <v>158</v>
      </c>
      <c r="C92" s="14"/>
      <c r="D92" s="14"/>
      <c r="E92" s="15">
        <f>C92*C108+C109*D92</f>
        <v>0</v>
      </c>
      <c r="F92" s="87"/>
      <c r="G92" s="87"/>
      <c r="H92" s="92"/>
      <c r="I92" s="16"/>
      <c r="J92" s="17"/>
      <c r="K92" s="15">
        <f t="shared" si="1"/>
        <v>0</v>
      </c>
      <c r="L92" s="77">
        <f>E92*(1+C110)+I92+J92*(1+C112)</f>
        <v>0</v>
      </c>
      <c r="M92" s="156">
        <f>E92*(1+C119)+I92+J92</f>
        <v>0</v>
      </c>
    </row>
    <row r="93" spans="1:13" x14ac:dyDescent="0.25">
      <c r="A93" s="369"/>
      <c r="B93" s="5" t="s">
        <v>159</v>
      </c>
      <c r="C93" s="14"/>
      <c r="D93" s="14"/>
      <c r="E93" s="15">
        <f>C93*C108+C109*D93</f>
        <v>0</v>
      </c>
      <c r="F93" s="87"/>
      <c r="G93" s="87"/>
      <c r="H93" s="92"/>
      <c r="I93" s="16"/>
      <c r="J93" s="17"/>
      <c r="K93" s="15">
        <f t="shared" si="1"/>
        <v>0</v>
      </c>
      <c r="L93" s="77">
        <f>E93*(1+C110)+I93+J93*(1+C112)</f>
        <v>0</v>
      </c>
      <c r="M93" s="156">
        <f>E93*(1+C119)+I93+J93</f>
        <v>0</v>
      </c>
    </row>
    <row r="94" spans="1:13" x14ac:dyDescent="0.25">
      <c r="A94" s="369"/>
      <c r="B94" s="7" t="s">
        <v>160</v>
      </c>
      <c r="C94" s="126"/>
      <c r="D94" s="126"/>
      <c r="E94" s="127"/>
      <c r="F94" s="87"/>
      <c r="G94" s="87"/>
      <c r="H94" s="92"/>
      <c r="I94" s="16"/>
      <c r="J94" s="17"/>
      <c r="K94" s="15">
        <f t="shared" si="1"/>
        <v>0</v>
      </c>
      <c r="L94" s="77">
        <f>E94*(1+C110)+I94+J94*(1+C112)</f>
        <v>0</v>
      </c>
      <c r="M94" s="156">
        <f>E94*(1+C119)+I94+J94</f>
        <v>0</v>
      </c>
    </row>
    <row r="95" spans="1:13" x14ac:dyDescent="0.25">
      <c r="A95" s="369"/>
      <c r="B95" s="5" t="s">
        <v>161</v>
      </c>
      <c r="C95" s="14"/>
      <c r="D95" s="14"/>
      <c r="E95" s="15">
        <f>C95*C108+C109*D95</f>
        <v>0</v>
      </c>
      <c r="F95" s="87"/>
      <c r="G95" s="87"/>
      <c r="H95" s="92"/>
      <c r="I95" s="16"/>
      <c r="J95" s="17"/>
      <c r="K95" s="15">
        <f t="shared" si="1"/>
        <v>0</v>
      </c>
      <c r="L95" s="77">
        <f>E95*(1+C110)+I95+J95*(1+C112)</f>
        <v>0</v>
      </c>
      <c r="M95" s="156">
        <f>E95*(1+C119)+I95+J95</f>
        <v>0</v>
      </c>
    </row>
    <row r="96" spans="1:13" ht="15.75" thickBot="1" x14ac:dyDescent="0.3">
      <c r="A96" s="369"/>
      <c r="B96" s="3" t="s">
        <v>162</v>
      </c>
      <c r="C96" s="145"/>
      <c r="D96" s="145"/>
      <c r="E96" s="146"/>
      <c r="F96" s="89"/>
      <c r="G96" s="89"/>
      <c r="H96" s="147"/>
      <c r="I96" s="78"/>
      <c r="J96" s="79"/>
      <c r="K96" s="77">
        <f t="shared" si="1"/>
        <v>0</v>
      </c>
      <c r="L96" s="77">
        <f>E96*(1+C110)+I96+J96*(1+C112)</f>
        <v>0</v>
      </c>
      <c r="M96" s="157">
        <f>E96*(1+C119)+I96+J96</f>
        <v>0</v>
      </c>
    </row>
    <row r="97" spans="1:13" ht="14.45" customHeight="1" thickBot="1" x14ac:dyDescent="0.3">
      <c r="A97" s="358" t="s">
        <v>31</v>
      </c>
      <c r="B97" s="359"/>
      <c r="C97" s="80">
        <f t="shared" ref="C97:M97" si="2">SUM(C56:C96)</f>
        <v>0</v>
      </c>
      <c r="D97" s="80">
        <f t="shared" si="2"/>
        <v>0</v>
      </c>
      <c r="E97" s="81">
        <f t="shared" si="2"/>
        <v>0</v>
      </c>
      <c r="F97" s="81">
        <f t="shared" si="2"/>
        <v>0</v>
      </c>
      <c r="G97" s="81">
        <f t="shared" si="2"/>
        <v>0</v>
      </c>
      <c r="H97" s="81">
        <f t="shared" si="2"/>
        <v>0</v>
      </c>
      <c r="I97" s="81">
        <f t="shared" si="2"/>
        <v>0</v>
      </c>
      <c r="J97" s="81">
        <f t="shared" si="2"/>
        <v>0</v>
      </c>
      <c r="K97" s="81">
        <f t="shared" si="2"/>
        <v>0</v>
      </c>
      <c r="L97" s="81">
        <f t="shared" si="2"/>
        <v>0</v>
      </c>
      <c r="M97" s="158">
        <f t="shared" si="2"/>
        <v>0</v>
      </c>
    </row>
    <row r="99" spans="1:13" x14ac:dyDescent="0.25">
      <c r="A99" s="4" t="s">
        <v>21</v>
      </c>
    </row>
    <row r="100" spans="1:13" x14ac:dyDescent="0.25">
      <c r="A100" s="4" t="s">
        <v>155</v>
      </c>
    </row>
    <row r="104" spans="1:13" x14ac:dyDescent="0.25">
      <c r="B104" s="9" t="s">
        <v>20</v>
      </c>
    </row>
    <row r="105" spans="1:13" ht="15.75" thickBot="1" x14ac:dyDescent="0.3">
      <c r="B105" s="269" t="s">
        <v>219</v>
      </c>
      <c r="C105" s="269">
        <v>2019</v>
      </c>
    </row>
    <row r="106" spans="1:13" ht="14.45" customHeight="1" x14ac:dyDescent="0.25">
      <c r="G106" s="430" t="str">
        <f>CONCATENATE("Tarifs applicables en cas d'utilisation pluriannuelle de cette fiche de coûts (application d'un coefficient de dérive annuelle de ",C120*100, " % à la phase de réalisation (phase de conception exclue car effectuée en année 1) :")</f>
        <v>Tarifs applicables en cas d'utilisation pluriannuelle de cette fiche de coûts (application d'un coefficient de dérive annuelle de 2 % à la phase de réalisation (phase de conception exclue car effectuée en année 1) :</v>
      </c>
      <c r="H106" s="431"/>
      <c r="I106" s="431"/>
      <c r="J106" s="431"/>
      <c r="K106" s="431"/>
      <c r="L106" s="431"/>
      <c r="M106" s="432"/>
    </row>
    <row r="107" spans="1:13" ht="15.75" thickBot="1" x14ac:dyDescent="0.3">
      <c r="C107" s="288" t="s">
        <v>54</v>
      </c>
      <c r="G107" s="433"/>
      <c r="H107" s="434"/>
      <c r="I107" s="434"/>
      <c r="J107" s="434"/>
      <c r="K107" s="434"/>
      <c r="L107" s="434"/>
      <c r="M107" s="435"/>
    </row>
    <row r="108" spans="1:13" ht="14.45" customHeight="1" x14ac:dyDescent="0.25">
      <c r="B108" s="11" t="s">
        <v>22</v>
      </c>
      <c r="C108" s="269">
        <f>ROUND(60.61*1.0191,2)</f>
        <v>61.77</v>
      </c>
      <c r="G108" s="213"/>
      <c r="H108" s="214"/>
      <c r="I108" s="438" t="s">
        <v>16</v>
      </c>
      <c r="J108" s="438" t="s">
        <v>17</v>
      </c>
      <c r="K108" s="438" t="str">
        <f>CONCATENATE("Prix de vente hors CEA préconisé avec taux de marge de ",C15*100,"%")</f>
        <v>Prix de vente hors CEA préconisé avec taux de marge de 10%</v>
      </c>
      <c r="L108" s="440" t="s">
        <v>206</v>
      </c>
      <c r="M108" s="442" t="s">
        <v>220</v>
      </c>
    </row>
    <row r="109" spans="1:13" x14ac:dyDescent="0.25">
      <c r="B109" s="11" t="s">
        <v>23</v>
      </c>
      <c r="C109" s="269">
        <f>ROUND(38.39*1.0191,2)</f>
        <v>39.119999999999997</v>
      </c>
      <c r="G109" s="211"/>
      <c r="H109" s="190"/>
      <c r="I109" s="439"/>
      <c r="J109" s="439"/>
      <c r="K109" s="439"/>
      <c r="L109" s="441"/>
      <c r="M109" s="443"/>
    </row>
    <row r="110" spans="1:13" x14ac:dyDescent="0.25">
      <c r="B110" s="273" t="s">
        <v>173</v>
      </c>
      <c r="C110" s="13">
        <v>1.1529</v>
      </c>
      <c r="G110" s="436" t="s">
        <v>221</v>
      </c>
      <c r="H110" s="437"/>
      <c r="I110" s="439"/>
      <c r="J110" s="439"/>
      <c r="K110" s="439"/>
      <c r="L110" s="441"/>
      <c r="M110" s="443"/>
    </row>
    <row r="111" spans="1:13" x14ac:dyDescent="0.25">
      <c r="B111" s="273" t="s">
        <v>172</v>
      </c>
      <c r="C111" s="13">
        <v>1.1346000000000001</v>
      </c>
      <c r="G111" s="211"/>
      <c r="H111" s="190"/>
      <c r="I111" s="439"/>
      <c r="J111" s="439"/>
      <c r="K111" s="439"/>
      <c r="L111" s="441"/>
      <c r="M111" s="443"/>
    </row>
    <row r="112" spans="1:13" x14ac:dyDescent="0.25">
      <c r="B112" s="6" t="s">
        <v>28</v>
      </c>
      <c r="C112" s="13">
        <v>3.4000000000000002E-2</v>
      </c>
      <c r="G112" s="211"/>
      <c r="H112" s="190"/>
      <c r="I112" s="439"/>
      <c r="J112" s="439"/>
      <c r="K112" s="439"/>
      <c r="L112" s="441"/>
      <c r="M112" s="443"/>
    </row>
    <row r="113" spans="2:13" x14ac:dyDescent="0.25">
      <c r="B113" s="6" t="s">
        <v>48</v>
      </c>
      <c r="C113" s="35">
        <v>82.460000000000008</v>
      </c>
      <c r="G113" s="444" t="str">
        <f>CONCATENATE("Prix par participant ",C105)</f>
        <v>Prix par participant 2019</v>
      </c>
      <c r="H113" s="410"/>
      <c r="I113" s="270">
        <f>J11</f>
        <v>0</v>
      </c>
      <c r="J113" s="270">
        <f>K11</f>
        <v>0</v>
      </c>
      <c r="K113" s="270">
        <f>L11</f>
        <v>0</v>
      </c>
      <c r="L113" s="212" t="str">
        <f>J17</f>
        <v>A saisir</v>
      </c>
      <c r="M113" s="215" t="str">
        <f>J18</f>
        <v>A saisir</v>
      </c>
    </row>
    <row r="114" spans="2:13" x14ac:dyDescent="0.25">
      <c r="B114" s="6" t="s">
        <v>49</v>
      </c>
      <c r="C114" s="35">
        <v>54.53</v>
      </c>
      <c r="G114" s="444" t="str">
        <f>CONCATENATE("Prix par participant ",C105+1)</f>
        <v>Prix par participant 2020</v>
      </c>
      <c r="H114" s="410"/>
      <c r="I114" s="35">
        <f>ROUND((K29-K97+K97*(1+C120))*1.1/C14,0)</f>
        <v>0</v>
      </c>
      <c r="J114" s="35">
        <f>ROUND((L29-L97+L97*(1+C120))*1.1/C14,0)</f>
        <v>0</v>
      </c>
      <c r="K114" s="35">
        <f>ROUND(J114*(1+C15),0)</f>
        <v>0</v>
      </c>
      <c r="L114" s="212" t="s">
        <v>190</v>
      </c>
      <c r="M114" s="215" t="s">
        <v>190</v>
      </c>
    </row>
    <row r="115" spans="2:13" x14ac:dyDescent="0.25">
      <c r="B115" s="6" t="s">
        <v>50</v>
      </c>
      <c r="C115" s="35">
        <v>41.230000000000004</v>
      </c>
      <c r="G115" s="444" t="str">
        <f>CONCATENATE("Prix par participant ",C105+2)</f>
        <v>Prix par participant 2021</v>
      </c>
      <c r="H115" s="410"/>
      <c r="I115" s="35">
        <f>ROUND((K29-K97+K97*(1+C120)*(1+C120))*1.1/C14,0)</f>
        <v>0</v>
      </c>
      <c r="J115" s="35">
        <f>ROUND((L29-L97+L97*(1+C120)*(1+C120))*1.1/C14,0)</f>
        <v>0</v>
      </c>
      <c r="K115" s="35">
        <f>ROUND(J115*(1+C15),0)</f>
        <v>0</v>
      </c>
      <c r="L115" s="212" t="s">
        <v>190</v>
      </c>
      <c r="M115" s="215" t="s">
        <v>190</v>
      </c>
    </row>
    <row r="116" spans="2:13" x14ac:dyDescent="0.25">
      <c r="B116" s="6" t="s">
        <v>51</v>
      </c>
      <c r="C116" s="35">
        <v>61.910000000000004</v>
      </c>
      <c r="G116" s="444" t="str">
        <f>CONCATENATE("Prix par participant ",C105+3)</f>
        <v>Prix par participant 2022</v>
      </c>
      <c r="H116" s="410"/>
      <c r="I116" s="35">
        <f>ROUND((K29-K97+K97*(1+C120)*(1+C120)*(1+C120))*1.1/C14,0)</f>
        <v>0</v>
      </c>
      <c r="J116" s="35">
        <f>ROUND((L29-L97+L97*(1+C120)*(1+C120)*(1+C120))*1.1/C14,0)</f>
        <v>0</v>
      </c>
      <c r="K116" s="35">
        <f>ROUND(J116*(1+C15),0)</f>
        <v>0</v>
      </c>
      <c r="L116" s="212" t="s">
        <v>190</v>
      </c>
      <c r="M116" s="215" t="s">
        <v>190</v>
      </c>
    </row>
    <row r="117" spans="2:13" x14ac:dyDescent="0.25">
      <c r="B117" s="6" t="s">
        <v>52</v>
      </c>
      <c r="C117" s="35">
        <v>40.770000000000003</v>
      </c>
      <c r="G117" s="444" t="str">
        <f>CONCATENATE("Prix par participant ",C105+4)</f>
        <v>Prix par participant 2023</v>
      </c>
      <c r="H117" s="410"/>
      <c r="I117" s="35">
        <f>ROUND((K29-K97+K97*(1+C120)*(1+C120)*(1+C120)*(1+C120))*1.1/C14,0)</f>
        <v>0</v>
      </c>
      <c r="J117" s="35">
        <f>ROUND((L29-L97+L97*(1+C120)*(1+C120)*(1+C120)*(1+C120))*1.1/C14,0)</f>
        <v>0</v>
      </c>
      <c r="K117" s="35">
        <f>ROUND(J117*(1+C15),0)</f>
        <v>0</v>
      </c>
      <c r="L117" s="212" t="s">
        <v>190</v>
      </c>
      <c r="M117" s="215" t="s">
        <v>190</v>
      </c>
    </row>
    <row r="118" spans="2:13" ht="15.75" thickBot="1" x14ac:dyDescent="0.3">
      <c r="B118" s="6" t="s">
        <v>53</v>
      </c>
      <c r="C118" s="35">
        <v>31.71</v>
      </c>
      <c r="G118" s="428" t="str">
        <f>CONCATENATE("Prix par participant ",C105+5)</f>
        <v>Prix par participant 2024</v>
      </c>
      <c r="H118" s="429"/>
      <c r="I118" s="216">
        <f>ROUND((K29-K97+K97*(1+C120)*(1+C120)*(1+C120)*(1+C120)*(1+C120))*1.1/C14,0)</f>
        <v>0</v>
      </c>
      <c r="J118" s="216">
        <f>ROUND((L29-L97+L97*(1+C120)*(1+C120)*(1+C120)*(1+C120)*(1+C120))*1.1/C14,0)</f>
        <v>0</v>
      </c>
      <c r="K118" s="216">
        <f>ROUND(J118*(1+C15),0)</f>
        <v>0</v>
      </c>
      <c r="L118" s="217" t="s">
        <v>190</v>
      </c>
      <c r="M118" s="218" t="s">
        <v>190</v>
      </c>
    </row>
    <row r="119" spans="2:13" ht="30" x14ac:dyDescent="0.25">
      <c r="B119" s="6" t="s">
        <v>188</v>
      </c>
      <c r="C119" s="13">
        <v>1.0416000000000001</v>
      </c>
    </row>
    <row r="120" spans="2:13" x14ac:dyDescent="0.25">
      <c r="B120" s="6" t="s">
        <v>222</v>
      </c>
      <c r="C120" s="13">
        <v>0.02</v>
      </c>
    </row>
  </sheetData>
  <mergeCells count="75">
    <mergeCell ref="G118:H118"/>
    <mergeCell ref="G106:M107"/>
    <mergeCell ref="G110:H110"/>
    <mergeCell ref="K108:K112"/>
    <mergeCell ref="J108:J112"/>
    <mergeCell ref="I108:I112"/>
    <mergeCell ref="L108:L112"/>
    <mergeCell ref="M108:M112"/>
    <mergeCell ref="G113:H113"/>
    <mergeCell ref="G114:H114"/>
    <mergeCell ref="G115:H115"/>
    <mergeCell ref="G116:H116"/>
    <mergeCell ref="G117:H117"/>
    <mergeCell ref="A97:B97"/>
    <mergeCell ref="A29:J29"/>
    <mergeCell ref="L15:M15"/>
    <mergeCell ref="L21:M21"/>
    <mergeCell ref="A62:A66"/>
    <mergeCell ref="A80:A88"/>
    <mergeCell ref="A74:A75"/>
    <mergeCell ref="A56:A61"/>
    <mergeCell ref="A67:A71"/>
    <mergeCell ref="A89:A96"/>
    <mergeCell ref="A72:A73"/>
    <mergeCell ref="G24:I24"/>
    <mergeCell ref="L22:M22"/>
    <mergeCell ref="L23:M23"/>
    <mergeCell ref="L24:M24"/>
    <mergeCell ref="A31:M31"/>
    <mergeCell ref="A1:M1"/>
    <mergeCell ref="A49:B49"/>
    <mergeCell ref="C5:F5"/>
    <mergeCell ref="G14:I14"/>
    <mergeCell ref="G7:I7"/>
    <mergeCell ref="G8:I8"/>
    <mergeCell ref="G10:I10"/>
    <mergeCell ref="G6:I6"/>
    <mergeCell ref="L5:M5"/>
    <mergeCell ref="L6:M6"/>
    <mergeCell ref="L7:M7"/>
    <mergeCell ref="G12:I12"/>
    <mergeCell ref="L12:M12"/>
    <mergeCell ref="A34:A37"/>
    <mergeCell ref="A38:A48"/>
    <mergeCell ref="G9:I9"/>
    <mergeCell ref="G11:I11"/>
    <mergeCell ref="G15:I15"/>
    <mergeCell ref="G13:I13"/>
    <mergeCell ref="A55:M55"/>
    <mergeCell ref="A51:B51"/>
    <mergeCell ref="A53:B53"/>
    <mergeCell ref="A50:H50"/>
    <mergeCell ref="F52:H52"/>
    <mergeCell ref="G19:I19"/>
    <mergeCell ref="G20:M20"/>
    <mergeCell ref="G18:I18"/>
    <mergeCell ref="L16:M16"/>
    <mergeCell ref="A32:A33"/>
    <mergeCell ref="K17:L18"/>
    <mergeCell ref="C3:E3"/>
    <mergeCell ref="J50:K50"/>
    <mergeCell ref="J52:K52"/>
    <mergeCell ref="L13:M13"/>
    <mergeCell ref="G22:I22"/>
    <mergeCell ref="D12:E12"/>
    <mergeCell ref="C11:E11"/>
    <mergeCell ref="L8:M8"/>
    <mergeCell ref="L9:M9"/>
    <mergeCell ref="L10:M10"/>
    <mergeCell ref="L11:M11"/>
    <mergeCell ref="L14:M14"/>
    <mergeCell ref="G16:I16"/>
    <mergeCell ref="G21:I21"/>
    <mergeCell ref="G17:I17"/>
    <mergeCell ref="G23:I23"/>
  </mergeCells>
  <dataValidations count="1">
    <dataValidation type="list" allowBlank="1" showInputMessage="1" showErrorMessage="1" sqref="C13" xr:uid="{00000000-0002-0000-0A00-000000000000}">
      <formula1>"Choisir Unité,UEC,UECG,UECO,UEM,UES,SFRES,DIR,DDP,DPF,DSTG"</formula1>
    </dataValidation>
  </dataValidations>
  <pageMargins left="0.17" right="0.17" top="0.4" bottom="0.25" header="0.3" footer="0.17"/>
  <pageSetup paperSize="8" scale="68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0.39997558519241921"/>
    <pageSetUpPr fitToPage="1"/>
  </sheetPr>
  <dimension ref="A1:I74"/>
  <sheetViews>
    <sheetView workbookViewId="0">
      <selection activeCell="C18" sqref="C18"/>
    </sheetView>
  </sheetViews>
  <sheetFormatPr baseColWidth="10" defaultRowHeight="15" x14ac:dyDescent="0.25"/>
  <cols>
    <col min="1" max="1" width="32.5703125" bestFit="1" customWidth="1"/>
    <col min="3" max="3" width="12.28515625" customWidth="1"/>
    <col min="4" max="4" width="12.140625" customWidth="1"/>
    <col min="5" max="5" width="13.42578125" customWidth="1"/>
  </cols>
  <sheetData>
    <row r="1" spans="1:9" ht="18.75" x14ac:dyDescent="0.3">
      <c r="A1" s="39" t="s">
        <v>213</v>
      </c>
    </row>
    <row r="3" spans="1:9" x14ac:dyDescent="0.25">
      <c r="A3" s="37" t="s">
        <v>214</v>
      </c>
      <c r="B3" s="271" t="s">
        <v>215</v>
      </c>
      <c r="C3" s="38" t="s">
        <v>121</v>
      </c>
      <c r="D3" s="271" t="s">
        <v>123</v>
      </c>
    </row>
    <row r="4" spans="1:9" x14ac:dyDescent="0.25">
      <c r="A4" s="6" t="s">
        <v>62</v>
      </c>
      <c r="B4" s="35">
        <v>1000</v>
      </c>
      <c r="C4" s="43"/>
      <c r="D4" s="41">
        <f t="shared" ref="D4:D9" si="0">B4*C4</f>
        <v>0</v>
      </c>
    </row>
    <row r="5" spans="1:9" x14ac:dyDescent="0.25">
      <c r="A5" s="6" t="s">
        <v>63</v>
      </c>
      <c r="B5" s="35">
        <v>1000</v>
      </c>
      <c r="C5" s="43"/>
      <c r="D5" s="41">
        <f t="shared" si="0"/>
        <v>0</v>
      </c>
    </row>
    <row r="6" spans="1:9" x14ac:dyDescent="0.25">
      <c r="A6" s="6" t="s">
        <v>64</v>
      </c>
      <c r="B6" s="35">
        <v>1000</v>
      </c>
      <c r="C6" s="43"/>
      <c r="D6" s="41">
        <f t="shared" si="0"/>
        <v>0</v>
      </c>
    </row>
    <row r="7" spans="1:9" x14ac:dyDescent="0.25">
      <c r="A7" s="6" t="s">
        <v>66</v>
      </c>
      <c r="B7" s="35">
        <v>5000</v>
      </c>
      <c r="C7" s="43"/>
      <c r="D7" s="41">
        <f t="shared" si="0"/>
        <v>0</v>
      </c>
    </row>
    <row r="8" spans="1:9" x14ac:dyDescent="0.25">
      <c r="A8" s="6" t="s">
        <v>65</v>
      </c>
      <c r="B8" s="35">
        <v>1000</v>
      </c>
      <c r="C8" s="43"/>
      <c r="D8" s="41">
        <f t="shared" si="0"/>
        <v>0</v>
      </c>
    </row>
    <row r="9" spans="1:9" x14ac:dyDescent="0.25">
      <c r="A9" s="10" t="s">
        <v>216</v>
      </c>
      <c r="B9" s="40"/>
      <c r="C9" s="43"/>
      <c r="D9" s="41">
        <f t="shared" si="0"/>
        <v>0</v>
      </c>
    </row>
    <row r="10" spans="1:9" ht="15.75" x14ac:dyDescent="0.25">
      <c r="A10" s="445" t="s">
        <v>124</v>
      </c>
      <c r="B10" s="445"/>
      <c r="C10" s="445"/>
      <c r="D10" s="76">
        <f>SUM(D4:D9)</f>
        <v>0</v>
      </c>
    </row>
    <row r="13" spans="1:9" ht="15.75" x14ac:dyDescent="0.25">
      <c r="A13" s="445" t="s">
        <v>125</v>
      </c>
      <c r="B13" s="445"/>
      <c r="C13" s="445"/>
      <c r="D13" s="76">
        <f>B18*C18+B19*C19+B20*C20+B21*C21+B22*C22+B23*C23+D18*E18+D19*E19+D20*E20+D21*E21+D22*E22+D23*E23+F18*G18+F19*G19+F20*G20+F21*G21+F22*G22+F23*G23+H18*I18+H19*I19+H20*I20+H21*I21+H22*I22+H23*I23+B29*C29+B30*C30+B31*C31+B32*C32+D29*E29+D30*E30+D31*E31+D32*E32+F29*G29+F30*G30+F31*G31+F32*G32+H29*I29+H30*I30+H31*I31+H32*I32+B37*C37+B38*C38+B39*C39+B40*C40+D37*E37+D38*E38+D39*E39+D40*E40+F37*G37+F38*G38+F39*G39+F40*G40+H37*I37+H38*I38+H39*I39+H40*I40+B45*C45+B46*C46+B47*C47+B48*C48+B49*C49+B50*C50+B51*C51+B52*C52+B54*C54+B55*C55+B56*C56+B57*C57+D45*E45+D46*E46+D47*E47+D48*E48+D49*E49+D50*E50+D51*E51+D52*E52+D54*E54+D55*E55+D56*E56+D57*E57+F45*G45+F46*G46+F47*G47+F48*G48+F49*G49+F50*G50+F51*G51+F52*G52+F53*G53+F54*G54+F55*G55+F56*G56+F57*G57+H45*I45+H46*I46+H47*I47+H48*I48+H49*I49+H50*I50+H51*I51+H52*I52+H53*I53+H54*I54+H55*I55+H56*I56+H57*I57+C61*D61+C62*D62+C63*D63+C64*D64+C65*D65+C66*D66+C67*D67+C68*D68+C69*D69+C70*D70+C71*D71+C72*D72+C73*D73+C74*D74+E61*F61+E62*F62+E63*F63+E64*F64+E65*F65+E66*F66+E67*F67+E68*F68+E69*F69+E70*F70+E71*F71+E72*F72+E73*F73+E74*F74</f>
        <v>0</v>
      </c>
    </row>
    <row r="14" spans="1:9" ht="15.75" thickBot="1" x14ac:dyDescent="0.3"/>
    <row r="15" spans="1:9" ht="15.6" customHeight="1" thickBot="1" x14ac:dyDescent="0.3">
      <c r="B15" s="456" t="s">
        <v>68</v>
      </c>
      <c r="C15" s="457"/>
      <c r="D15" s="457"/>
      <c r="E15" s="458"/>
      <c r="F15" s="456" t="s">
        <v>106</v>
      </c>
      <c r="G15" s="457"/>
      <c r="H15" s="457"/>
      <c r="I15" s="458"/>
    </row>
    <row r="16" spans="1:9" ht="28.9" customHeight="1" x14ac:dyDescent="0.25">
      <c r="A16" s="452" t="s">
        <v>120</v>
      </c>
      <c r="B16" s="446" t="s">
        <v>105</v>
      </c>
      <c r="C16" s="447"/>
      <c r="D16" s="448" t="s">
        <v>107</v>
      </c>
      <c r="E16" s="449"/>
      <c r="F16" s="446" t="s">
        <v>105</v>
      </c>
      <c r="G16" s="447"/>
      <c r="H16" s="448" t="s">
        <v>107</v>
      </c>
      <c r="I16" s="449"/>
    </row>
    <row r="17" spans="1:9" x14ac:dyDescent="0.25">
      <c r="A17" s="453"/>
      <c r="B17" s="282" t="s">
        <v>217</v>
      </c>
      <c r="C17" s="272" t="s">
        <v>121</v>
      </c>
      <c r="D17" s="282" t="s">
        <v>217</v>
      </c>
      <c r="E17" s="46" t="s">
        <v>121</v>
      </c>
      <c r="F17" s="282" t="s">
        <v>217</v>
      </c>
      <c r="G17" s="272" t="s">
        <v>121</v>
      </c>
      <c r="H17" s="282" t="s">
        <v>217</v>
      </c>
      <c r="I17" s="46" t="s">
        <v>121</v>
      </c>
    </row>
    <row r="18" spans="1:9" x14ac:dyDescent="0.25">
      <c r="A18" s="57" t="s">
        <v>115</v>
      </c>
      <c r="B18" s="47">
        <v>370</v>
      </c>
      <c r="C18" s="102"/>
      <c r="D18" s="47">
        <f t="shared" ref="D18:D23" si="1">ROUND(B18*0.8,0)</f>
        <v>296</v>
      </c>
      <c r="E18" s="72"/>
      <c r="F18" s="47">
        <f t="shared" ref="F18:F23" si="2">ROUND(B18*0.65,0)</f>
        <v>241</v>
      </c>
      <c r="G18" s="102"/>
      <c r="H18" s="47">
        <f t="shared" ref="H18:H23" si="3">ROUND(F18*0.8,0)</f>
        <v>193</v>
      </c>
      <c r="I18" s="72"/>
    </row>
    <row r="19" spans="1:9" x14ac:dyDescent="0.25">
      <c r="A19" s="57" t="s">
        <v>116</v>
      </c>
      <c r="B19" s="47">
        <v>700</v>
      </c>
      <c r="C19" s="102"/>
      <c r="D19" s="47">
        <f t="shared" si="1"/>
        <v>560</v>
      </c>
      <c r="E19" s="72"/>
      <c r="F19" s="47">
        <f t="shared" si="2"/>
        <v>455</v>
      </c>
      <c r="G19" s="102"/>
      <c r="H19" s="47">
        <f t="shared" si="3"/>
        <v>364</v>
      </c>
      <c r="I19" s="72"/>
    </row>
    <row r="20" spans="1:9" x14ac:dyDescent="0.25">
      <c r="A20" s="57" t="s">
        <v>117</v>
      </c>
      <c r="B20" s="47">
        <v>1050</v>
      </c>
      <c r="C20" s="102"/>
      <c r="D20" s="47">
        <f t="shared" si="1"/>
        <v>840</v>
      </c>
      <c r="E20" s="72"/>
      <c r="F20" s="47">
        <f t="shared" si="2"/>
        <v>683</v>
      </c>
      <c r="G20" s="102"/>
      <c r="H20" s="47">
        <f t="shared" si="3"/>
        <v>546</v>
      </c>
      <c r="I20" s="72"/>
    </row>
    <row r="21" spans="1:9" x14ac:dyDescent="0.25">
      <c r="A21" s="57" t="s">
        <v>118</v>
      </c>
      <c r="B21" s="47">
        <v>1300</v>
      </c>
      <c r="C21" s="102"/>
      <c r="D21" s="47">
        <f t="shared" si="1"/>
        <v>1040</v>
      </c>
      <c r="E21" s="72"/>
      <c r="F21" s="47">
        <f t="shared" si="2"/>
        <v>845</v>
      </c>
      <c r="G21" s="102"/>
      <c r="H21" s="47">
        <f t="shared" si="3"/>
        <v>676</v>
      </c>
      <c r="I21" s="72"/>
    </row>
    <row r="22" spans="1:9" x14ac:dyDescent="0.25">
      <c r="A22" s="100" t="s">
        <v>119</v>
      </c>
      <c r="B22" s="98">
        <v>800</v>
      </c>
      <c r="C22" s="103"/>
      <c r="D22" s="98">
        <f t="shared" si="1"/>
        <v>640</v>
      </c>
      <c r="E22" s="99"/>
      <c r="F22" s="98">
        <f t="shared" si="2"/>
        <v>520</v>
      </c>
      <c r="G22" s="103"/>
      <c r="H22" s="98">
        <f t="shared" si="3"/>
        <v>416</v>
      </c>
      <c r="I22" s="99"/>
    </row>
    <row r="23" spans="1:9" ht="15.75" thickBot="1" x14ac:dyDescent="0.3">
      <c r="A23" s="58" t="s">
        <v>216</v>
      </c>
      <c r="B23" s="49"/>
      <c r="C23" s="104"/>
      <c r="D23" s="49">
        <f t="shared" si="1"/>
        <v>0</v>
      </c>
      <c r="E23" s="73"/>
      <c r="F23" s="49">
        <f t="shared" si="2"/>
        <v>0</v>
      </c>
      <c r="G23" s="104"/>
      <c r="H23" s="49">
        <f t="shared" si="3"/>
        <v>0</v>
      </c>
      <c r="I23" s="73"/>
    </row>
    <row r="25" spans="1:9" ht="15.75" thickBot="1" x14ac:dyDescent="0.3"/>
    <row r="26" spans="1:9" ht="15.75" thickBot="1" x14ac:dyDescent="0.3">
      <c r="B26" s="456" t="s">
        <v>68</v>
      </c>
      <c r="C26" s="457"/>
      <c r="D26" s="457"/>
      <c r="E26" s="458"/>
      <c r="F26" s="457" t="s">
        <v>106</v>
      </c>
      <c r="G26" s="457"/>
      <c r="H26" s="457"/>
      <c r="I26" s="458"/>
    </row>
    <row r="27" spans="1:9" x14ac:dyDescent="0.25">
      <c r="A27" s="454" t="s">
        <v>112</v>
      </c>
      <c r="B27" s="446" t="s">
        <v>105</v>
      </c>
      <c r="C27" s="450"/>
      <c r="D27" s="451" t="s">
        <v>107</v>
      </c>
      <c r="E27" s="449"/>
      <c r="F27" s="446" t="s">
        <v>105</v>
      </c>
      <c r="G27" s="450"/>
      <c r="H27" s="451" t="s">
        <v>107</v>
      </c>
      <c r="I27" s="449"/>
    </row>
    <row r="28" spans="1:9" x14ac:dyDescent="0.25">
      <c r="A28" s="455"/>
      <c r="B28" s="282" t="s">
        <v>217</v>
      </c>
      <c r="C28" s="46" t="s">
        <v>121</v>
      </c>
      <c r="D28" s="285" t="s">
        <v>217</v>
      </c>
      <c r="E28" s="46" t="s">
        <v>121</v>
      </c>
      <c r="F28" s="282" t="s">
        <v>217</v>
      </c>
      <c r="G28" s="46" t="s">
        <v>121</v>
      </c>
      <c r="H28" s="285" t="s">
        <v>217</v>
      </c>
      <c r="I28" s="46" t="s">
        <v>121</v>
      </c>
    </row>
    <row r="29" spans="1:9" x14ac:dyDescent="0.25">
      <c r="A29" s="53" t="s">
        <v>114</v>
      </c>
      <c r="B29" s="47">
        <v>1600</v>
      </c>
      <c r="C29" s="72"/>
      <c r="D29" s="51">
        <f>ROUND(B29*0.8,0)</f>
        <v>1280</v>
      </c>
      <c r="E29" s="72"/>
      <c r="F29" s="47">
        <v>900</v>
      </c>
      <c r="G29" s="72"/>
      <c r="H29" s="51">
        <f>ROUND(F29*0.8,0)</f>
        <v>720</v>
      </c>
      <c r="I29" s="72"/>
    </row>
    <row r="30" spans="1:9" x14ac:dyDescent="0.25">
      <c r="A30" s="53" t="s">
        <v>110</v>
      </c>
      <c r="B30" s="47">
        <v>550</v>
      </c>
      <c r="C30" s="72"/>
      <c r="D30" s="51">
        <f>ROUND(B30*0.8,0)</f>
        <v>440</v>
      </c>
      <c r="E30" s="72"/>
      <c r="F30" s="47">
        <v>350</v>
      </c>
      <c r="G30" s="72"/>
      <c r="H30" s="51">
        <f>ROUND(F30*0.8,0)</f>
        <v>280</v>
      </c>
      <c r="I30" s="72"/>
    </row>
    <row r="31" spans="1:9" x14ac:dyDescent="0.25">
      <c r="A31" s="53" t="s">
        <v>111</v>
      </c>
      <c r="B31" s="47">
        <v>420</v>
      </c>
      <c r="C31" s="72"/>
      <c r="D31" s="51">
        <f>ROUND(B31*0.8,0)</f>
        <v>336</v>
      </c>
      <c r="E31" s="72"/>
      <c r="F31" s="47">
        <v>270</v>
      </c>
      <c r="G31" s="72"/>
      <c r="H31" s="51">
        <f>ROUND(F31*0.8,0)</f>
        <v>216</v>
      </c>
      <c r="I31" s="72"/>
    </row>
    <row r="32" spans="1:9" ht="15.75" thickBot="1" x14ac:dyDescent="0.3">
      <c r="A32" s="54" t="s">
        <v>113</v>
      </c>
      <c r="B32" s="49">
        <v>440</v>
      </c>
      <c r="C32" s="73"/>
      <c r="D32" s="52">
        <f>ROUND(B32*0.8,0)</f>
        <v>352</v>
      </c>
      <c r="E32" s="73"/>
      <c r="F32" s="49">
        <v>290</v>
      </c>
      <c r="G32" s="73"/>
      <c r="H32" s="52">
        <f>ROUND(F32*0.8,0)</f>
        <v>232</v>
      </c>
      <c r="I32" s="73"/>
    </row>
    <row r="33" spans="1:9" ht="15.75" thickBot="1" x14ac:dyDescent="0.3"/>
    <row r="34" spans="1:9" ht="15.75" thickBot="1" x14ac:dyDescent="0.3">
      <c r="B34" s="456" t="s">
        <v>68</v>
      </c>
      <c r="C34" s="457"/>
      <c r="D34" s="457"/>
      <c r="E34" s="458"/>
      <c r="F34" s="457" t="s">
        <v>106</v>
      </c>
      <c r="G34" s="457"/>
      <c r="H34" s="457"/>
      <c r="I34" s="458"/>
    </row>
    <row r="35" spans="1:9" x14ac:dyDescent="0.25">
      <c r="A35" s="452" t="s">
        <v>104</v>
      </c>
      <c r="B35" s="446" t="s">
        <v>105</v>
      </c>
      <c r="C35" s="450"/>
      <c r="D35" s="451" t="s">
        <v>107</v>
      </c>
      <c r="E35" s="449"/>
      <c r="F35" s="446" t="s">
        <v>105</v>
      </c>
      <c r="G35" s="450"/>
      <c r="H35" s="451" t="s">
        <v>107</v>
      </c>
      <c r="I35" s="449"/>
    </row>
    <row r="36" spans="1:9" x14ac:dyDescent="0.25">
      <c r="A36" s="453"/>
      <c r="B36" s="282" t="s">
        <v>217</v>
      </c>
      <c r="C36" s="46" t="s">
        <v>121</v>
      </c>
      <c r="D36" s="285" t="s">
        <v>217</v>
      </c>
      <c r="E36" s="46" t="s">
        <v>121</v>
      </c>
      <c r="F36" s="282" t="s">
        <v>217</v>
      </c>
      <c r="G36" s="46" t="s">
        <v>121</v>
      </c>
      <c r="H36" s="285" t="s">
        <v>217</v>
      </c>
      <c r="I36" s="46" t="s">
        <v>121</v>
      </c>
    </row>
    <row r="37" spans="1:9" x14ac:dyDescent="0.25">
      <c r="A37" s="57" t="s">
        <v>69</v>
      </c>
      <c r="B37" s="55">
        <v>500</v>
      </c>
      <c r="C37" s="72"/>
      <c r="D37" s="51">
        <f>ROUND(B37*0.8,0)</f>
        <v>400</v>
      </c>
      <c r="E37" s="72"/>
      <c r="F37" s="55">
        <v>300</v>
      </c>
      <c r="G37" s="72"/>
      <c r="H37" s="51">
        <f>ROUND(F37*0.8,0)</f>
        <v>240</v>
      </c>
      <c r="I37" s="72"/>
    </row>
    <row r="38" spans="1:9" x14ac:dyDescent="0.25">
      <c r="A38" s="57" t="s">
        <v>70</v>
      </c>
      <c r="B38" s="55">
        <v>400</v>
      </c>
      <c r="C38" s="72"/>
      <c r="D38" s="51">
        <f>ROUND(B38*0.8,0)</f>
        <v>320</v>
      </c>
      <c r="E38" s="72"/>
      <c r="F38" s="55">
        <v>250</v>
      </c>
      <c r="G38" s="72"/>
      <c r="H38" s="51">
        <f>ROUND(F38*0.8,0)</f>
        <v>200</v>
      </c>
      <c r="I38" s="72"/>
    </row>
    <row r="39" spans="1:9" x14ac:dyDescent="0.25">
      <c r="A39" s="57" t="s">
        <v>71</v>
      </c>
      <c r="B39" s="55">
        <v>400</v>
      </c>
      <c r="C39" s="72"/>
      <c r="D39" s="51">
        <f>ROUND(B39*0.8,0)</f>
        <v>320</v>
      </c>
      <c r="E39" s="72"/>
      <c r="F39" s="55">
        <v>250</v>
      </c>
      <c r="G39" s="72"/>
      <c r="H39" s="51">
        <f>ROUND(F39*0.8,0)</f>
        <v>200</v>
      </c>
      <c r="I39" s="72"/>
    </row>
    <row r="40" spans="1:9" ht="15.75" thickBot="1" x14ac:dyDescent="0.3">
      <c r="A40" s="58" t="s">
        <v>72</v>
      </c>
      <c r="B40" s="56">
        <v>620</v>
      </c>
      <c r="C40" s="73"/>
      <c r="D40" s="52">
        <f>ROUND(B40*0.8,0)</f>
        <v>496</v>
      </c>
      <c r="E40" s="73"/>
      <c r="F40" s="56">
        <v>370</v>
      </c>
      <c r="G40" s="73"/>
      <c r="H40" s="52">
        <f>ROUND(F40*0.8,0)</f>
        <v>296</v>
      </c>
      <c r="I40" s="73"/>
    </row>
    <row r="41" spans="1:9" ht="15.75" thickBot="1" x14ac:dyDescent="0.3"/>
    <row r="42" spans="1:9" ht="15.75" thickBot="1" x14ac:dyDescent="0.3">
      <c r="B42" s="461" t="s">
        <v>68</v>
      </c>
      <c r="C42" s="462"/>
      <c r="D42" s="462"/>
      <c r="E42" s="463"/>
      <c r="F42" s="464" t="s">
        <v>106</v>
      </c>
      <c r="G42" s="462"/>
      <c r="H42" s="462"/>
      <c r="I42" s="465"/>
    </row>
    <row r="43" spans="1:9" x14ac:dyDescent="0.25">
      <c r="A43" s="452" t="s">
        <v>108</v>
      </c>
      <c r="B43" s="446" t="s">
        <v>105</v>
      </c>
      <c r="C43" s="450"/>
      <c r="D43" s="451" t="s">
        <v>107</v>
      </c>
      <c r="E43" s="449"/>
      <c r="F43" s="446" t="s">
        <v>105</v>
      </c>
      <c r="G43" s="450"/>
      <c r="H43" s="451" t="s">
        <v>107</v>
      </c>
      <c r="I43" s="449"/>
    </row>
    <row r="44" spans="1:9" x14ac:dyDescent="0.25">
      <c r="A44" s="453"/>
      <c r="B44" s="282" t="s">
        <v>217</v>
      </c>
      <c r="C44" s="46" t="s">
        <v>121</v>
      </c>
      <c r="D44" s="285" t="s">
        <v>217</v>
      </c>
      <c r="E44" s="46" t="s">
        <v>121</v>
      </c>
      <c r="F44" s="282" t="s">
        <v>217</v>
      </c>
      <c r="G44" s="46" t="s">
        <v>121</v>
      </c>
      <c r="H44" s="285" t="s">
        <v>217</v>
      </c>
      <c r="I44" s="46" t="s">
        <v>121</v>
      </c>
    </row>
    <row r="45" spans="1:9" x14ac:dyDescent="0.25">
      <c r="A45" s="57" t="s">
        <v>74</v>
      </c>
      <c r="B45" s="55">
        <v>370</v>
      </c>
      <c r="C45" s="72"/>
      <c r="D45" s="51">
        <f t="shared" ref="D45:D52" si="4">ROUND(B45*0.8,0)</f>
        <v>296</v>
      </c>
      <c r="E45" s="72"/>
      <c r="F45" s="55">
        <v>222</v>
      </c>
      <c r="G45" s="72"/>
      <c r="H45" s="51">
        <f t="shared" ref="H45:H57" si="5">ROUND(F45*0.8,0)</f>
        <v>178</v>
      </c>
      <c r="I45" s="72"/>
    </row>
    <row r="46" spans="1:9" x14ac:dyDescent="0.25">
      <c r="A46" s="57" t="s">
        <v>75</v>
      </c>
      <c r="B46" s="55">
        <v>700</v>
      </c>
      <c r="C46" s="72"/>
      <c r="D46" s="51">
        <f t="shared" si="4"/>
        <v>560</v>
      </c>
      <c r="E46" s="72"/>
      <c r="F46" s="55">
        <v>420</v>
      </c>
      <c r="G46" s="72"/>
      <c r="H46" s="51">
        <f t="shared" si="5"/>
        <v>336</v>
      </c>
      <c r="I46" s="72"/>
    </row>
    <row r="47" spans="1:9" x14ac:dyDescent="0.25">
      <c r="A47" s="57" t="s">
        <v>76</v>
      </c>
      <c r="B47" s="55">
        <v>1050</v>
      </c>
      <c r="C47" s="72"/>
      <c r="D47" s="51">
        <f t="shared" si="4"/>
        <v>840</v>
      </c>
      <c r="E47" s="72"/>
      <c r="F47" s="55">
        <v>630</v>
      </c>
      <c r="G47" s="72"/>
      <c r="H47" s="51">
        <f t="shared" si="5"/>
        <v>504</v>
      </c>
      <c r="I47" s="72"/>
    </row>
    <row r="48" spans="1:9" x14ac:dyDescent="0.25">
      <c r="A48" s="57" t="s">
        <v>77</v>
      </c>
      <c r="B48" s="55">
        <v>1300</v>
      </c>
      <c r="C48" s="72"/>
      <c r="D48" s="51">
        <f t="shared" si="4"/>
        <v>1040</v>
      </c>
      <c r="E48" s="72"/>
      <c r="F48" s="55">
        <v>780</v>
      </c>
      <c r="G48" s="72"/>
      <c r="H48" s="51">
        <f t="shared" si="5"/>
        <v>624</v>
      </c>
      <c r="I48" s="72"/>
    </row>
    <row r="49" spans="1:9" x14ac:dyDescent="0.25">
      <c r="A49" s="57" t="s">
        <v>78</v>
      </c>
      <c r="B49" s="55">
        <v>585</v>
      </c>
      <c r="C49" s="72"/>
      <c r="D49" s="51">
        <f t="shared" si="4"/>
        <v>468</v>
      </c>
      <c r="E49" s="72"/>
      <c r="F49" s="55">
        <v>351</v>
      </c>
      <c r="G49" s="72"/>
      <c r="H49" s="51">
        <f t="shared" si="5"/>
        <v>281</v>
      </c>
      <c r="I49" s="72"/>
    </row>
    <row r="50" spans="1:9" x14ac:dyDescent="0.25">
      <c r="A50" s="57" t="s">
        <v>79</v>
      </c>
      <c r="B50" s="55">
        <v>780</v>
      </c>
      <c r="C50" s="72"/>
      <c r="D50" s="51">
        <f t="shared" si="4"/>
        <v>624</v>
      </c>
      <c r="E50" s="72"/>
      <c r="F50" s="55">
        <v>468</v>
      </c>
      <c r="G50" s="72"/>
      <c r="H50" s="51">
        <f t="shared" si="5"/>
        <v>374</v>
      </c>
      <c r="I50" s="72"/>
    </row>
    <row r="51" spans="1:9" x14ac:dyDescent="0.25">
      <c r="A51" s="57" t="s">
        <v>80</v>
      </c>
      <c r="B51" s="55">
        <v>1170</v>
      </c>
      <c r="C51" s="72"/>
      <c r="D51" s="51">
        <f t="shared" si="4"/>
        <v>936</v>
      </c>
      <c r="E51" s="72"/>
      <c r="F51" s="55">
        <v>702</v>
      </c>
      <c r="G51" s="72"/>
      <c r="H51" s="51">
        <f t="shared" si="5"/>
        <v>562</v>
      </c>
      <c r="I51" s="72"/>
    </row>
    <row r="52" spans="1:9" x14ac:dyDescent="0.25">
      <c r="A52" s="57" t="s">
        <v>81</v>
      </c>
      <c r="B52" s="55">
        <v>350</v>
      </c>
      <c r="C52" s="72"/>
      <c r="D52" s="51">
        <f t="shared" si="4"/>
        <v>280</v>
      </c>
      <c r="E52" s="72"/>
      <c r="F52" s="55">
        <v>210</v>
      </c>
      <c r="G52" s="72"/>
      <c r="H52" s="51">
        <f t="shared" si="5"/>
        <v>168</v>
      </c>
      <c r="I52" s="72"/>
    </row>
    <row r="53" spans="1:9" x14ac:dyDescent="0.25">
      <c r="A53" s="57" t="s">
        <v>82</v>
      </c>
      <c r="B53" s="59"/>
      <c r="C53" s="60"/>
      <c r="D53" s="61"/>
      <c r="E53" s="60"/>
      <c r="F53" s="55">
        <v>625</v>
      </c>
      <c r="G53" s="72"/>
      <c r="H53" s="51">
        <f t="shared" si="5"/>
        <v>500</v>
      </c>
      <c r="I53" s="72"/>
    </row>
    <row r="54" spans="1:9" x14ac:dyDescent="0.25">
      <c r="A54" s="57" t="s">
        <v>83</v>
      </c>
      <c r="B54" s="55">
        <v>1860</v>
      </c>
      <c r="C54" s="72"/>
      <c r="D54" s="51">
        <f>ROUND(B54*0.8,0)</f>
        <v>1488</v>
      </c>
      <c r="E54" s="72"/>
      <c r="F54" s="55">
        <v>1116</v>
      </c>
      <c r="G54" s="72"/>
      <c r="H54" s="51">
        <f t="shared" si="5"/>
        <v>893</v>
      </c>
      <c r="I54" s="72"/>
    </row>
    <row r="55" spans="1:9" x14ac:dyDescent="0.25">
      <c r="A55" s="57" t="s">
        <v>84</v>
      </c>
      <c r="B55" s="55">
        <v>2050</v>
      </c>
      <c r="C55" s="72"/>
      <c r="D55" s="51">
        <f>ROUND(B55*0.8,0)</f>
        <v>1640</v>
      </c>
      <c r="E55" s="72"/>
      <c r="F55" s="55">
        <v>1230</v>
      </c>
      <c r="G55" s="72"/>
      <c r="H55" s="51">
        <f t="shared" si="5"/>
        <v>984</v>
      </c>
      <c r="I55" s="72"/>
    </row>
    <row r="56" spans="1:9" x14ac:dyDescent="0.25">
      <c r="A56" s="57" t="s">
        <v>85</v>
      </c>
      <c r="B56" s="55">
        <v>2250</v>
      </c>
      <c r="C56" s="72"/>
      <c r="D56" s="51">
        <f>ROUND(B56*0.8,0)</f>
        <v>1800</v>
      </c>
      <c r="E56" s="72"/>
      <c r="F56" s="55">
        <v>1350</v>
      </c>
      <c r="G56" s="72"/>
      <c r="H56" s="51">
        <f t="shared" si="5"/>
        <v>1080</v>
      </c>
      <c r="I56" s="72"/>
    </row>
    <row r="57" spans="1:9" ht="15.75" thickBot="1" x14ac:dyDescent="0.3">
      <c r="A57" s="58" t="s">
        <v>86</v>
      </c>
      <c r="B57" s="56">
        <v>2760</v>
      </c>
      <c r="C57" s="73"/>
      <c r="D57" s="52">
        <f>ROUND(B57*0.8,0)</f>
        <v>2208</v>
      </c>
      <c r="E57" s="73"/>
      <c r="F57" s="56">
        <v>1616</v>
      </c>
      <c r="G57" s="73"/>
      <c r="H57" s="52">
        <f t="shared" si="5"/>
        <v>1293</v>
      </c>
      <c r="I57" s="73"/>
    </row>
    <row r="58" spans="1:9" ht="15.75" thickBot="1" x14ac:dyDescent="0.3"/>
    <row r="59" spans="1:9" ht="14.45" customHeight="1" x14ac:dyDescent="0.25">
      <c r="A59" s="459" t="s">
        <v>109</v>
      </c>
      <c r="B59" s="466" t="s">
        <v>1</v>
      </c>
      <c r="C59" s="446" t="s">
        <v>105</v>
      </c>
      <c r="D59" s="450"/>
      <c r="E59" s="451" t="s">
        <v>107</v>
      </c>
      <c r="F59" s="449"/>
    </row>
    <row r="60" spans="1:9" ht="15.75" thickBot="1" x14ac:dyDescent="0.3">
      <c r="A60" s="460"/>
      <c r="B60" s="467"/>
      <c r="C60" s="281" t="s">
        <v>217</v>
      </c>
      <c r="D60" s="66" t="s">
        <v>121</v>
      </c>
      <c r="E60" s="67" t="s">
        <v>217</v>
      </c>
      <c r="F60" s="66" t="s">
        <v>121</v>
      </c>
    </row>
    <row r="61" spans="1:9" x14ac:dyDescent="0.25">
      <c r="A61" s="62" t="s">
        <v>87</v>
      </c>
      <c r="B61" s="63" t="s">
        <v>61</v>
      </c>
      <c r="C61" s="62">
        <v>85</v>
      </c>
      <c r="D61" s="74"/>
      <c r="E61" s="64">
        <f t="shared" ref="E61:E69" si="6">ROUND(C61*0.8,0)</f>
        <v>68</v>
      </c>
      <c r="F61" s="74"/>
    </row>
    <row r="62" spans="1:9" x14ac:dyDescent="0.25">
      <c r="A62" s="47" t="s">
        <v>88</v>
      </c>
      <c r="B62" s="48" t="s">
        <v>61</v>
      </c>
      <c r="C62" s="47">
        <v>145</v>
      </c>
      <c r="D62" s="72"/>
      <c r="E62" s="51">
        <f t="shared" si="6"/>
        <v>116</v>
      </c>
      <c r="F62" s="72"/>
    </row>
    <row r="63" spans="1:9" x14ac:dyDescent="0.25">
      <c r="A63" s="47" t="s">
        <v>89</v>
      </c>
      <c r="B63" s="48" t="s">
        <v>90</v>
      </c>
      <c r="C63" s="47">
        <v>50</v>
      </c>
      <c r="D63" s="72"/>
      <c r="E63" s="51">
        <f t="shared" si="6"/>
        <v>40</v>
      </c>
      <c r="F63" s="72"/>
    </row>
    <row r="64" spans="1:9" x14ac:dyDescent="0.25">
      <c r="A64" s="47" t="s">
        <v>91</v>
      </c>
      <c r="B64" s="48" t="s">
        <v>92</v>
      </c>
      <c r="C64" s="47">
        <v>18</v>
      </c>
      <c r="D64" s="72"/>
      <c r="E64" s="51">
        <f t="shared" si="6"/>
        <v>14</v>
      </c>
      <c r="F64" s="72"/>
    </row>
    <row r="65" spans="1:6" x14ac:dyDescent="0.25">
      <c r="A65" s="47" t="s">
        <v>93</v>
      </c>
      <c r="B65" s="48" t="s">
        <v>61</v>
      </c>
      <c r="C65" s="47">
        <v>30</v>
      </c>
      <c r="D65" s="72"/>
      <c r="E65" s="51">
        <f t="shared" si="6"/>
        <v>24</v>
      </c>
      <c r="F65" s="72"/>
    </row>
    <row r="66" spans="1:6" x14ac:dyDescent="0.25">
      <c r="A66" s="47" t="s">
        <v>94</v>
      </c>
      <c r="B66" s="48" t="s">
        <v>61</v>
      </c>
      <c r="C66" s="47">
        <v>100</v>
      </c>
      <c r="D66" s="72"/>
      <c r="E66" s="51">
        <f t="shared" si="6"/>
        <v>80</v>
      </c>
      <c r="F66" s="72"/>
    </row>
    <row r="67" spans="1:6" x14ac:dyDescent="0.25">
      <c r="A67" s="47" t="s">
        <v>95</v>
      </c>
      <c r="B67" s="48" t="s">
        <v>92</v>
      </c>
      <c r="C67" s="47">
        <v>25</v>
      </c>
      <c r="D67" s="72"/>
      <c r="E67" s="51">
        <f t="shared" si="6"/>
        <v>20</v>
      </c>
      <c r="F67" s="72"/>
    </row>
    <row r="68" spans="1:6" x14ac:dyDescent="0.25">
      <c r="A68" s="47" t="s">
        <v>96</v>
      </c>
      <c r="B68" s="48" t="s">
        <v>97</v>
      </c>
      <c r="C68" s="47">
        <v>50</v>
      </c>
      <c r="D68" s="72"/>
      <c r="E68" s="51">
        <f t="shared" si="6"/>
        <v>40</v>
      </c>
      <c r="F68" s="72"/>
    </row>
    <row r="69" spans="1:6" x14ac:dyDescent="0.25">
      <c r="A69" s="47" t="s">
        <v>98</v>
      </c>
      <c r="B69" s="48" t="s">
        <v>90</v>
      </c>
      <c r="C69" s="47">
        <v>80</v>
      </c>
      <c r="D69" s="72"/>
      <c r="E69" s="51">
        <f t="shared" si="6"/>
        <v>64</v>
      </c>
      <c r="F69" s="72"/>
    </row>
    <row r="70" spans="1:6" ht="45" x14ac:dyDescent="0.25">
      <c r="A70" s="68" t="s">
        <v>218</v>
      </c>
      <c r="B70" s="69" t="s">
        <v>90</v>
      </c>
      <c r="C70" s="70"/>
      <c r="D70" s="75"/>
      <c r="E70" s="71"/>
      <c r="F70" s="75"/>
    </row>
    <row r="71" spans="1:6" x14ac:dyDescent="0.25">
      <c r="A71" s="47" t="s">
        <v>99</v>
      </c>
      <c r="B71" s="48" t="s">
        <v>61</v>
      </c>
      <c r="C71" s="47">
        <v>370</v>
      </c>
      <c r="D71" s="72"/>
      <c r="E71" s="51">
        <f>ROUND(C71*0.8,0)</f>
        <v>296</v>
      </c>
      <c r="F71" s="72"/>
    </row>
    <row r="72" spans="1:6" x14ac:dyDescent="0.25">
      <c r="A72" s="47" t="s">
        <v>99</v>
      </c>
      <c r="B72" s="48" t="s">
        <v>73</v>
      </c>
      <c r="C72" s="47">
        <v>240</v>
      </c>
      <c r="D72" s="72"/>
      <c r="E72" s="51">
        <f>ROUND(C72*0.8,0)</f>
        <v>192</v>
      </c>
      <c r="F72" s="72"/>
    </row>
    <row r="73" spans="1:6" x14ac:dyDescent="0.25">
      <c r="A73" s="47" t="s">
        <v>100</v>
      </c>
      <c r="B73" s="48" t="s">
        <v>101</v>
      </c>
      <c r="C73" s="47">
        <v>40</v>
      </c>
      <c r="D73" s="72"/>
      <c r="E73" s="51">
        <f>ROUND(C73*0.8,0)</f>
        <v>32</v>
      </c>
      <c r="F73" s="72"/>
    </row>
    <row r="74" spans="1:6" ht="15.75" thickBot="1" x14ac:dyDescent="0.3">
      <c r="A74" s="49" t="s">
        <v>102</v>
      </c>
      <c r="B74" s="50" t="s">
        <v>103</v>
      </c>
      <c r="C74" s="49">
        <v>60</v>
      </c>
      <c r="D74" s="73"/>
      <c r="E74" s="52">
        <f>ROUND(C74*0.8,0)</f>
        <v>48</v>
      </c>
      <c r="F74" s="73"/>
    </row>
  </sheetData>
  <mergeCells count="34">
    <mergeCell ref="A59:A60"/>
    <mergeCell ref="B35:C35"/>
    <mergeCell ref="D35:E35"/>
    <mergeCell ref="F35:G35"/>
    <mergeCell ref="H35:I35"/>
    <mergeCell ref="C59:D59"/>
    <mergeCell ref="E59:F59"/>
    <mergeCell ref="B42:E42"/>
    <mergeCell ref="F42:I42"/>
    <mergeCell ref="B59:B60"/>
    <mergeCell ref="F43:G43"/>
    <mergeCell ref="H43:I43"/>
    <mergeCell ref="F16:G16"/>
    <mergeCell ref="H16:I16"/>
    <mergeCell ref="F15:I15"/>
    <mergeCell ref="B15:E15"/>
    <mergeCell ref="B34:E34"/>
    <mergeCell ref="F34:I34"/>
    <mergeCell ref="B27:C27"/>
    <mergeCell ref="D27:E27"/>
    <mergeCell ref="F27:G27"/>
    <mergeCell ref="H27:I27"/>
    <mergeCell ref="B26:E26"/>
    <mergeCell ref="F26:I26"/>
    <mergeCell ref="A10:C10"/>
    <mergeCell ref="A13:C13"/>
    <mergeCell ref="B16:C16"/>
    <mergeCell ref="D16:E16"/>
    <mergeCell ref="B43:C43"/>
    <mergeCell ref="D43:E43"/>
    <mergeCell ref="A16:A17"/>
    <mergeCell ref="A35:A36"/>
    <mergeCell ref="A43:A44"/>
    <mergeCell ref="A27:A28"/>
  </mergeCells>
  <pageMargins left="0.7" right="0.7" top="0.75" bottom="0.75" header="0.3" footer="0.3"/>
  <pageSetup paperSize="9" scale="6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 tint="0.39997558519241921"/>
    <pageSetUpPr fitToPage="1"/>
  </sheetPr>
  <dimension ref="A1:E19"/>
  <sheetViews>
    <sheetView workbookViewId="0">
      <selection activeCell="A16" sqref="A16:XFD16"/>
    </sheetView>
  </sheetViews>
  <sheetFormatPr baseColWidth="10" defaultRowHeight="15" x14ac:dyDescent="0.25"/>
  <cols>
    <col min="1" max="1" width="49.5703125" customWidth="1"/>
    <col min="3" max="3" width="27.85546875" customWidth="1"/>
    <col min="4" max="4" width="16.7109375" bestFit="1" customWidth="1"/>
  </cols>
  <sheetData>
    <row r="1" spans="1:5" ht="18.75" x14ac:dyDescent="0.3">
      <c r="A1" s="39" t="s">
        <v>371</v>
      </c>
    </row>
    <row r="2" spans="1:5" ht="15.75" thickBot="1" x14ac:dyDescent="0.3"/>
    <row r="3" spans="1:5" ht="45" x14ac:dyDescent="0.25">
      <c r="A3" s="105" t="s">
        <v>375</v>
      </c>
      <c r="B3" s="106" t="s">
        <v>374</v>
      </c>
      <c r="C3" s="106" t="s">
        <v>472</v>
      </c>
      <c r="D3" s="106" t="s">
        <v>132</v>
      </c>
      <c r="E3" s="107" t="s">
        <v>123</v>
      </c>
    </row>
    <row r="4" spans="1:5" x14ac:dyDescent="0.25">
      <c r="A4" s="108" t="s">
        <v>129</v>
      </c>
      <c r="B4" s="93">
        <v>17.5</v>
      </c>
      <c r="C4" s="95"/>
      <c r="D4" s="97">
        <f>'Fiche de coûts part2'!C14+2</f>
        <v>9</v>
      </c>
      <c r="E4" s="109">
        <f>B4*D4*C4</f>
        <v>0</v>
      </c>
    </row>
    <row r="5" spans="1:5" x14ac:dyDescent="0.25">
      <c r="A5" s="108" t="s">
        <v>128</v>
      </c>
      <c r="B5" s="93">
        <v>12.5</v>
      </c>
      <c r="C5" s="95"/>
      <c r="D5" s="97">
        <f>'Fiche de coûts part2'!C14+2</f>
        <v>9</v>
      </c>
      <c r="E5" s="109">
        <f>B5*D5*C5</f>
        <v>0</v>
      </c>
    </row>
    <row r="6" spans="1:5" x14ac:dyDescent="0.25">
      <c r="A6" s="108" t="s">
        <v>130</v>
      </c>
      <c r="B6" s="93">
        <v>6</v>
      </c>
      <c r="C6" s="95"/>
      <c r="D6" s="97">
        <f>'Fiche de coûts part2'!C14</f>
        <v>7</v>
      </c>
      <c r="E6" s="109">
        <f>B6*D6*C6</f>
        <v>0</v>
      </c>
    </row>
    <row r="7" spans="1:5" x14ac:dyDescent="0.25">
      <c r="A7" s="110" t="s">
        <v>122</v>
      </c>
      <c r="B7" s="94"/>
      <c r="C7" s="96"/>
      <c r="D7" s="97">
        <f>'Fiche de coûts part2'!C14</f>
        <v>7</v>
      </c>
      <c r="E7" s="109">
        <f>B7*D7*C7</f>
        <v>0</v>
      </c>
    </row>
    <row r="8" spans="1:5" ht="16.5" thickBot="1" x14ac:dyDescent="0.3">
      <c r="A8" s="468" t="s">
        <v>131</v>
      </c>
      <c r="B8" s="469"/>
      <c r="C8" s="469"/>
      <c r="D8" s="469"/>
      <c r="E8" s="111">
        <f>SUM(E4:E7)</f>
        <v>0</v>
      </c>
    </row>
    <row r="10" spans="1:5" ht="15.75" thickBot="1" x14ac:dyDescent="0.3"/>
    <row r="11" spans="1:5" ht="60" x14ac:dyDescent="0.25">
      <c r="A11" s="105" t="s">
        <v>376</v>
      </c>
      <c r="B11" s="106" t="s">
        <v>374</v>
      </c>
      <c r="C11" s="106" t="s">
        <v>473</v>
      </c>
      <c r="D11" s="106" t="s">
        <v>132</v>
      </c>
      <c r="E11" s="107" t="s">
        <v>138</v>
      </c>
    </row>
    <row r="12" spans="1:5" ht="45" x14ac:dyDescent="0.25">
      <c r="A12" s="108" t="s">
        <v>207</v>
      </c>
      <c r="B12" s="93">
        <v>15</v>
      </c>
      <c r="C12" s="95"/>
      <c r="D12" s="198">
        <f>'Fiche de coûts part2'!C14</f>
        <v>7</v>
      </c>
      <c r="E12" s="199">
        <f t="shared" ref="E12:E19" si="0">B12*D12*C12</f>
        <v>0</v>
      </c>
    </row>
    <row r="13" spans="1:5" x14ac:dyDescent="0.25">
      <c r="A13" s="108" t="s">
        <v>137</v>
      </c>
      <c r="B13" s="93">
        <v>25</v>
      </c>
      <c r="C13" s="95"/>
      <c r="D13" s="198">
        <f>'Fiche de coûts part2'!C14</f>
        <v>7</v>
      </c>
      <c r="E13" s="199">
        <f t="shared" si="0"/>
        <v>0</v>
      </c>
    </row>
    <row r="14" spans="1:5" x14ac:dyDescent="0.25">
      <c r="A14" s="108" t="s">
        <v>136</v>
      </c>
      <c r="B14" s="93">
        <v>5</v>
      </c>
      <c r="C14" s="95"/>
      <c r="D14" s="198">
        <f>'Fiche de coûts part2'!C14</f>
        <v>7</v>
      </c>
      <c r="E14" s="199">
        <f t="shared" si="0"/>
        <v>0</v>
      </c>
    </row>
    <row r="15" spans="1:5" x14ac:dyDescent="0.25">
      <c r="A15" s="182" t="s">
        <v>198</v>
      </c>
      <c r="B15" s="183"/>
      <c r="C15" s="184"/>
      <c r="D15" s="198">
        <f>'Fiche de coûts part2'!C14</f>
        <v>7</v>
      </c>
      <c r="E15" s="199">
        <f t="shared" si="0"/>
        <v>0</v>
      </c>
    </row>
    <row r="16" spans="1:5" ht="30" x14ac:dyDescent="0.25">
      <c r="A16" s="195" t="s">
        <v>200</v>
      </c>
      <c r="B16" s="183"/>
      <c r="C16" s="184"/>
      <c r="D16" s="198">
        <f>'Fiche de coûts part2'!C14</f>
        <v>7</v>
      </c>
      <c r="E16" s="199">
        <f t="shared" si="0"/>
        <v>0</v>
      </c>
    </row>
    <row r="17" spans="1:5" ht="30" x14ac:dyDescent="0.25">
      <c r="A17" s="195" t="s">
        <v>200</v>
      </c>
      <c r="B17" s="183"/>
      <c r="C17" s="184"/>
      <c r="D17" s="198">
        <f>'Fiche de coûts part2'!C14</f>
        <v>7</v>
      </c>
      <c r="E17" s="199">
        <f t="shared" si="0"/>
        <v>0</v>
      </c>
    </row>
    <row r="18" spans="1:5" ht="30" x14ac:dyDescent="0.25">
      <c r="A18" s="195" t="s">
        <v>200</v>
      </c>
      <c r="B18" s="183"/>
      <c r="C18" s="184"/>
      <c r="D18" s="198">
        <f>'Fiche de coûts part2'!C14</f>
        <v>7</v>
      </c>
      <c r="E18" s="199">
        <f t="shared" si="0"/>
        <v>0</v>
      </c>
    </row>
    <row r="19" spans="1:5" ht="30.75" thickBot="1" x14ac:dyDescent="0.3">
      <c r="A19" s="196" t="s">
        <v>200</v>
      </c>
      <c r="B19" s="200"/>
      <c r="C19" s="201"/>
      <c r="D19" s="202">
        <f>'Fiche de coûts part2'!C14</f>
        <v>7</v>
      </c>
      <c r="E19" s="203">
        <f t="shared" si="0"/>
        <v>0</v>
      </c>
    </row>
  </sheetData>
  <mergeCells count="1">
    <mergeCell ref="A8:D8"/>
  </mergeCells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 tint="0.39997558519241921"/>
  </sheetPr>
  <dimension ref="A1:I13"/>
  <sheetViews>
    <sheetView workbookViewId="0">
      <selection activeCell="H26" sqref="H26"/>
    </sheetView>
  </sheetViews>
  <sheetFormatPr baseColWidth="10" defaultRowHeight="15" x14ac:dyDescent="0.25"/>
  <cols>
    <col min="1" max="1" width="23.28515625" bestFit="1" customWidth="1"/>
    <col min="2" max="2" width="23.28515625" customWidth="1"/>
    <col min="3" max="3" width="10" customWidth="1"/>
    <col min="9" max="9" width="16.140625" customWidth="1"/>
  </cols>
  <sheetData>
    <row r="1" spans="1:9" x14ac:dyDescent="0.25">
      <c r="A1" t="s">
        <v>372</v>
      </c>
    </row>
    <row r="2" spans="1:9" x14ac:dyDescent="0.25">
      <c r="A2" s="112" t="s">
        <v>150</v>
      </c>
      <c r="B2" s="112"/>
    </row>
    <row r="3" spans="1:9" x14ac:dyDescent="0.25">
      <c r="A3" s="112"/>
      <c r="B3" s="112"/>
    </row>
    <row r="4" spans="1:9" ht="15.75" thickBot="1" x14ac:dyDescent="0.3"/>
    <row r="5" spans="1:9" ht="29.45" customHeight="1" thickBot="1" x14ac:dyDescent="0.3">
      <c r="C5" s="472" t="s">
        <v>152</v>
      </c>
      <c r="D5" s="473"/>
      <c r="E5" s="472" t="s">
        <v>151</v>
      </c>
      <c r="F5" s="474"/>
      <c r="G5" s="472" t="s">
        <v>194</v>
      </c>
      <c r="H5" s="474"/>
      <c r="I5" s="470" t="s">
        <v>154</v>
      </c>
    </row>
    <row r="6" spans="1:9" ht="15.75" thickBot="1" x14ac:dyDescent="0.3">
      <c r="A6" s="283" t="s">
        <v>153</v>
      </c>
      <c r="B6" s="115" t="s">
        <v>1</v>
      </c>
      <c r="C6" s="120" t="s">
        <v>373</v>
      </c>
      <c r="D6" s="121" t="s">
        <v>121</v>
      </c>
      <c r="E6" s="120" t="s">
        <v>373</v>
      </c>
      <c r="F6" s="121" t="s">
        <v>121</v>
      </c>
      <c r="G6" s="120" t="s">
        <v>373</v>
      </c>
      <c r="H6" s="121" t="s">
        <v>121</v>
      </c>
      <c r="I6" s="471"/>
    </row>
    <row r="7" spans="1:9" x14ac:dyDescent="0.25">
      <c r="A7" s="113" t="s">
        <v>143</v>
      </c>
      <c r="B7" s="113" t="s">
        <v>144</v>
      </c>
      <c r="C7" s="62">
        <v>0.32</v>
      </c>
      <c r="D7" s="118"/>
      <c r="E7" s="62">
        <v>0.32</v>
      </c>
      <c r="F7" s="118"/>
      <c r="G7" s="62">
        <v>0</v>
      </c>
      <c r="H7" s="118"/>
      <c r="I7" s="119">
        <f>C7*D7+E7*F7+G7*H7</f>
        <v>0</v>
      </c>
    </row>
    <row r="8" spans="1:9" x14ac:dyDescent="0.25">
      <c r="A8" s="57" t="s">
        <v>145</v>
      </c>
      <c r="B8" s="57" t="s">
        <v>146</v>
      </c>
      <c r="C8" s="47">
        <v>92</v>
      </c>
      <c r="D8" s="102"/>
      <c r="E8" s="47">
        <v>72</v>
      </c>
      <c r="F8" s="102"/>
      <c r="G8" s="62">
        <v>0</v>
      </c>
      <c r="H8" s="102"/>
      <c r="I8" s="116">
        <f>C8*D8+E8*F8+G8*H8</f>
        <v>0</v>
      </c>
    </row>
    <row r="9" spans="1:9" x14ac:dyDescent="0.25">
      <c r="A9" s="57" t="s">
        <v>147</v>
      </c>
      <c r="B9" s="57" t="s">
        <v>148</v>
      </c>
      <c r="C9" s="47">
        <v>22</v>
      </c>
      <c r="D9" s="102"/>
      <c r="E9" s="47">
        <v>22</v>
      </c>
      <c r="F9" s="102"/>
      <c r="G9" s="62">
        <v>0</v>
      </c>
      <c r="H9" s="102"/>
      <c r="I9" s="116">
        <f>C9*D9+E9*F9+G9*H9</f>
        <v>0</v>
      </c>
    </row>
    <row r="10" spans="1:9" x14ac:dyDescent="0.25">
      <c r="A10" s="57" t="s">
        <v>149</v>
      </c>
      <c r="B10" s="57" t="s">
        <v>148</v>
      </c>
      <c r="C10" s="47">
        <v>17.5</v>
      </c>
      <c r="D10" s="102"/>
      <c r="E10" s="47">
        <v>17.5</v>
      </c>
      <c r="F10" s="102"/>
      <c r="G10" s="62">
        <v>0</v>
      </c>
      <c r="H10" s="102"/>
      <c r="I10" s="116">
        <f>C10*D10+E10*F10+G10*H10</f>
        <v>0</v>
      </c>
    </row>
    <row r="11" spans="1:9" ht="15.75" thickBot="1" x14ac:dyDescent="0.3">
      <c r="A11" s="58" t="s">
        <v>122</v>
      </c>
      <c r="B11" s="58" t="s">
        <v>148</v>
      </c>
      <c r="C11" s="49"/>
      <c r="D11" s="104"/>
      <c r="E11" s="49">
        <f>ROUND(C11*0.65,0)</f>
        <v>0</v>
      </c>
      <c r="F11" s="104"/>
      <c r="G11" s="49">
        <f>ROUND(E11*0.65,0)</f>
        <v>0</v>
      </c>
      <c r="H11" s="104"/>
      <c r="I11" s="117">
        <f>C11*D11+E11*F11+G11*H11</f>
        <v>0</v>
      </c>
    </row>
    <row r="12" spans="1:9" ht="16.5" thickBot="1" x14ac:dyDescent="0.3">
      <c r="I12" s="122">
        <f>SUM(I7:I11)</f>
        <v>0</v>
      </c>
    </row>
    <row r="13" spans="1:9" x14ac:dyDescent="0.25">
      <c r="A13" s="289" t="s">
        <v>343</v>
      </c>
    </row>
  </sheetData>
  <mergeCells count="4">
    <mergeCell ref="I5:I6"/>
    <mergeCell ref="C5:D5"/>
    <mergeCell ref="E5:F5"/>
    <mergeCell ref="G5:H5"/>
  </mergeCells>
  <pageMargins left="0.7" right="0.7" top="0.75" bottom="0.7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39997558519241921"/>
    <pageSetUpPr fitToPage="1"/>
  </sheetPr>
  <dimension ref="A1:M120"/>
  <sheetViews>
    <sheetView showGridLines="0" zoomScaleNormal="100" workbookViewId="0">
      <selection activeCell="C11" sqref="C11:E11"/>
    </sheetView>
  </sheetViews>
  <sheetFormatPr baseColWidth="10" defaultColWidth="11.5703125" defaultRowHeight="15" x14ac:dyDescent="0.25"/>
  <cols>
    <col min="1" max="1" width="17.28515625" style="1" customWidth="1"/>
    <col min="2" max="2" width="55.28515625" style="1" customWidth="1"/>
    <col min="3" max="8" width="11.5703125" style="1"/>
    <col min="9" max="9" width="13.140625" style="1" customWidth="1"/>
    <col min="10" max="13" width="13.28515625" style="1" customWidth="1"/>
    <col min="14" max="14" width="11.5703125" style="1"/>
    <col min="15" max="15" width="22.5703125" style="1" customWidth="1"/>
    <col min="16" max="16" width="11.5703125" style="1"/>
    <col min="17" max="17" width="12.5703125" style="1" customWidth="1"/>
    <col min="18" max="18" width="18.7109375" style="1" customWidth="1"/>
    <col min="19" max="19" width="12.7109375" style="1" customWidth="1"/>
    <col min="20" max="20" width="13.28515625" style="1" customWidth="1"/>
    <col min="21" max="16384" width="11.5703125" style="1"/>
  </cols>
  <sheetData>
    <row r="1" spans="1:13" ht="31.5" x14ac:dyDescent="0.25">
      <c r="A1" s="399" t="str">
        <f>'Fiche de coûts part2'!A1:M1</f>
        <v>Fiche de coûts INSTN - V1.4 du 25/01/2019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</row>
    <row r="3" spans="1:13" ht="54.6" customHeight="1" x14ac:dyDescent="0.25">
      <c r="C3" s="494" t="s">
        <v>349</v>
      </c>
      <c r="D3" s="494"/>
      <c r="E3" s="494"/>
      <c r="F3" s="494"/>
      <c r="G3" s="494"/>
      <c r="H3" s="494"/>
      <c r="I3" s="494"/>
    </row>
    <row r="5" spans="1:13" ht="43.15" customHeight="1" x14ac:dyDescent="0.25">
      <c r="B5" s="133" t="s">
        <v>197</v>
      </c>
      <c r="C5" s="401" t="str">
        <f>'Fiche de coûts'!C5:F5</f>
        <v>Télémanipulation</v>
      </c>
      <c r="D5" s="402"/>
      <c r="E5" s="402"/>
      <c r="F5" s="403"/>
      <c r="J5" s="271" t="s">
        <v>16</v>
      </c>
      <c r="K5" s="271" t="s">
        <v>17</v>
      </c>
      <c r="L5" s="410" t="str">
        <f>CONCATENATE("Prix de vente hors CEA préconisé avec taux de marge de ",C15*100,"%")</f>
        <v>Prix de vente hors CEA préconisé avec taux de marge de 10%</v>
      </c>
      <c r="M5" s="410"/>
    </row>
    <row r="6" spans="1:13" ht="14.45" customHeight="1" x14ac:dyDescent="0.25">
      <c r="B6" s="133" t="s">
        <v>175</v>
      </c>
      <c r="C6" s="165" t="str">
        <f>'Fiche de coûts'!C6</f>
        <v>TEL</v>
      </c>
      <c r="G6" s="407" t="s">
        <v>474</v>
      </c>
      <c r="H6" s="408"/>
      <c r="I6" s="409"/>
      <c r="J6" s="311">
        <f>K29</f>
        <v>6334.0599999999995</v>
      </c>
      <c r="K6" s="311">
        <f>L29</f>
        <v>8400.9272009999986</v>
      </c>
      <c r="L6" s="385">
        <f>K6*(1+C15)</f>
        <v>9241.0199210999999</v>
      </c>
      <c r="M6" s="385"/>
    </row>
    <row r="7" spans="1:13" ht="14.45" customHeight="1" x14ac:dyDescent="0.25">
      <c r="B7" s="6" t="s">
        <v>180</v>
      </c>
      <c r="C7" s="161">
        <f>'Fiche de coûts'!C7</f>
        <v>36161</v>
      </c>
      <c r="G7" s="405" t="s">
        <v>184</v>
      </c>
      <c r="H7" s="405"/>
      <c r="I7" s="405"/>
      <c r="J7" s="312">
        <f>K53+K97-K80-K81-K82-K83-K84-K85-K86-K87-K88</f>
        <v>2409.0599999999995</v>
      </c>
      <c r="K7" s="312">
        <f>L53+L97-L80-L81-L82-L83-L84-L85-L86-L87-L88</f>
        <v>4342.4772009999979</v>
      </c>
      <c r="L7" s="386">
        <f>K7*(1+C15)</f>
        <v>4776.724921099998</v>
      </c>
      <c r="M7" s="386"/>
    </row>
    <row r="8" spans="1:13" ht="14.45" customHeight="1" x14ac:dyDescent="0.25">
      <c r="B8" s="6" t="s">
        <v>176</v>
      </c>
      <c r="C8" s="6" t="str">
        <f>'Fiche de coûts'!C8</f>
        <v>FC INTER</v>
      </c>
      <c r="G8" s="405" t="s">
        <v>183</v>
      </c>
      <c r="H8" s="405"/>
      <c r="I8" s="405"/>
      <c r="J8" s="312">
        <f>K80+K81+K82+K83+K84+K85+K86+K87+K88</f>
        <v>3925</v>
      </c>
      <c r="K8" s="312">
        <f>L80+L81+L82+L83+L84+L85+L86+L87+L88</f>
        <v>4058.45</v>
      </c>
      <c r="L8" s="386">
        <f>K8*(1+C15)</f>
        <v>4464.2950000000001</v>
      </c>
      <c r="M8" s="386"/>
    </row>
    <row r="9" spans="1:13" ht="14.45" customHeight="1" x14ac:dyDescent="0.25">
      <c r="B9" s="6" t="s">
        <v>191</v>
      </c>
      <c r="C9" s="6">
        <f>'Fiche de coûts'!C9</f>
        <v>3</v>
      </c>
      <c r="G9" s="378" t="s">
        <v>181</v>
      </c>
      <c r="H9" s="378"/>
      <c r="I9" s="378"/>
      <c r="J9" s="313">
        <f>ROUND(J6*0.1,0)</f>
        <v>633</v>
      </c>
      <c r="K9" s="313">
        <f t="shared" ref="K9" si="0">ROUND(K6*0.1,0)</f>
        <v>840</v>
      </c>
      <c r="L9" s="379">
        <f>ROUND(L6*0.1,0)</f>
        <v>924</v>
      </c>
      <c r="M9" s="379"/>
    </row>
    <row r="10" spans="1:13" ht="14.45" customHeight="1" x14ac:dyDescent="0.25">
      <c r="B10" s="6" t="s">
        <v>192</v>
      </c>
      <c r="C10" s="163" t="str">
        <f>'Fiche de coûts'!C10</f>
        <v>J.VIDECOQ</v>
      </c>
      <c r="G10" s="406" t="s">
        <v>475</v>
      </c>
      <c r="H10" s="406"/>
      <c r="I10" s="406"/>
      <c r="J10" s="311">
        <f>J6+J9</f>
        <v>6967.0599999999995</v>
      </c>
      <c r="K10" s="311">
        <f t="shared" ref="K10:L10" si="1">K6+K9</f>
        <v>9240.9272009999986</v>
      </c>
      <c r="L10" s="385">
        <f t="shared" si="1"/>
        <v>10165.0199211</v>
      </c>
      <c r="M10" s="385"/>
    </row>
    <row r="11" spans="1:13" ht="14.45" customHeight="1" x14ac:dyDescent="0.25">
      <c r="B11" s="166" t="s">
        <v>342</v>
      </c>
      <c r="C11" s="391" t="str">
        <f>'Fiche de coûts'!C11:E11</f>
        <v>LOCTHEXPMAIN</v>
      </c>
      <c r="D11" s="392"/>
      <c r="E11" s="393"/>
      <c r="G11" s="406" t="s">
        <v>476</v>
      </c>
      <c r="H11" s="406"/>
      <c r="I11" s="406"/>
      <c r="J11" s="314">
        <f>ROUND(J10/C14,0)</f>
        <v>995</v>
      </c>
      <c r="K11" s="314">
        <f>ROUND(K10/C14,0)</f>
        <v>1320</v>
      </c>
      <c r="L11" s="394">
        <f>ROUND(L10/C14,0)</f>
        <v>1452</v>
      </c>
      <c r="M11" s="394"/>
    </row>
    <row r="12" spans="1:13" ht="14.45" customHeight="1" x14ac:dyDescent="0.25">
      <c r="B12" s="6" t="s">
        <v>338</v>
      </c>
      <c r="C12" s="291" t="str">
        <f>'Fiche de coûts'!C12</f>
        <v>Projet 06</v>
      </c>
      <c r="D12" s="490"/>
      <c r="E12" s="491"/>
      <c r="G12" s="378" t="s">
        <v>477</v>
      </c>
      <c r="H12" s="378"/>
      <c r="I12" s="378"/>
      <c r="J12" s="313">
        <f>IF(OR(LEFT(C8,2)="FC",LEFT(C8,2)="Ce"),ROUND(J10/C9,0),"Non applicable")</f>
        <v>2322</v>
      </c>
      <c r="K12" s="313">
        <f>IF(OR(LEFT(C8,2)="FC",LEFT(C8,2)="Ce"),ROUND(K10/C9,0),"Non applicable")</f>
        <v>3080</v>
      </c>
      <c r="L12" s="379">
        <f>IF(OR(LEFT(C8,2)="FC",LEFT(C8,2)="Ce"),ROUND(L10/C9,0),"Non applicable")</f>
        <v>3388</v>
      </c>
      <c r="M12" s="379"/>
    </row>
    <row r="13" spans="1:13" ht="14.45" customHeight="1" x14ac:dyDescent="0.25">
      <c r="B13" s="164" t="s">
        <v>351</v>
      </c>
      <c r="C13" s="439" t="s">
        <v>350</v>
      </c>
      <c r="D13" s="439"/>
      <c r="E13" s="439"/>
      <c r="G13" s="378" t="s">
        <v>478</v>
      </c>
      <c r="H13" s="378"/>
      <c r="I13" s="378"/>
      <c r="J13" s="313">
        <f>IF(LEFT(J12,1)="N",J12,ROUND(J12/C14,0))</f>
        <v>332</v>
      </c>
      <c r="K13" s="313">
        <f>IF(LEFT(K12,1)="N",K12,ROUND(K12/C14,0))</f>
        <v>440</v>
      </c>
      <c r="L13" s="379">
        <f>IF(LEFT(L12,1)="N",L12,ROUND(L12/C14,0))</f>
        <v>484</v>
      </c>
      <c r="M13" s="379"/>
    </row>
    <row r="14" spans="1:13" ht="15" customHeight="1" x14ac:dyDescent="0.25">
      <c r="B14" s="160" t="s">
        <v>171</v>
      </c>
      <c r="C14" s="292">
        <f>'Fiche de coûts'!C14</f>
        <v>7</v>
      </c>
      <c r="D14" s="129"/>
      <c r="E14" s="129"/>
      <c r="F14" s="129"/>
      <c r="G14" s="404" t="s">
        <v>182</v>
      </c>
      <c r="H14" s="404"/>
      <c r="I14" s="404"/>
      <c r="J14" s="315">
        <f>ROUNDUP(J7/(J11-J8/C14),0)</f>
        <v>6</v>
      </c>
      <c r="K14" s="315">
        <f>ROUNDUP(J7/(K11-J8/C14),0)</f>
        <v>4</v>
      </c>
      <c r="L14" s="382">
        <f>ROUNDUP(J7/(L11-J8/C14),0)</f>
        <v>3</v>
      </c>
      <c r="M14" s="382"/>
    </row>
    <row r="15" spans="1:13" ht="15" customHeight="1" x14ac:dyDescent="0.25">
      <c r="B15" s="133" t="s">
        <v>187</v>
      </c>
      <c r="C15" s="210">
        <f>'Fiche de coûts'!C15</f>
        <v>0.1</v>
      </c>
      <c r="D15" s="208" t="s">
        <v>471</v>
      </c>
      <c r="E15" s="188"/>
      <c r="F15" s="177"/>
      <c r="G15" s="378" t="s">
        <v>185</v>
      </c>
      <c r="H15" s="378"/>
      <c r="I15" s="378"/>
      <c r="J15" s="313">
        <f>J11*J14</f>
        <v>5970</v>
      </c>
      <c r="K15" s="313">
        <f>K11*K14</f>
        <v>5280</v>
      </c>
      <c r="L15" s="379">
        <f>L11*L14</f>
        <v>4356</v>
      </c>
      <c r="M15" s="379"/>
    </row>
    <row r="16" spans="1:13" ht="15" customHeight="1" thickBot="1" x14ac:dyDescent="0.3">
      <c r="D16" s="209" t="s">
        <v>195</v>
      </c>
      <c r="E16" s="189"/>
      <c r="G16" s="411" t="s">
        <v>186</v>
      </c>
      <c r="H16" s="412"/>
      <c r="I16" s="413"/>
      <c r="J16" s="316">
        <f>ROUND(J7+J8/C14*J14,0)</f>
        <v>5773</v>
      </c>
      <c r="K16" s="316">
        <f>ROUND(J7+J8/C14*K14,0)</f>
        <v>4652</v>
      </c>
      <c r="L16" s="497">
        <f>ROUND(J7+J8/C14*L14,0)</f>
        <v>4091</v>
      </c>
      <c r="M16" s="498"/>
    </row>
    <row r="17" spans="1:13" ht="30.75" thickTop="1" x14ac:dyDescent="0.25">
      <c r="B17" s="4" t="s">
        <v>178</v>
      </c>
      <c r="D17" s="194"/>
      <c r="E17" s="190"/>
      <c r="G17" s="416" t="s">
        <v>206</v>
      </c>
      <c r="H17" s="417"/>
      <c r="I17" s="417"/>
      <c r="J17" s="204" t="s">
        <v>190</v>
      </c>
      <c r="K17" s="499" t="s">
        <v>467</v>
      </c>
      <c r="L17" s="500"/>
      <c r="M17" s="333" t="str">
        <f>IF(AND('Fiche de coûts part1'!J17="A saisir",'Fiche de coûts part2'!J17="A saisir"),"Non renseigné",IF('Fiche de coûts part2'!J17&lt;&gt;"A saisir",'Fiche de coûts part1'!J17+'Fiche de coûts part2'!J17,'Fiche de coûts part1'!J17))</f>
        <v>Non renseigné</v>
      </c>
    </row>
    <row r="18" spans="1:13" ht="30.75" thickBot="1" x14ac:dyDescent="0.3">
      <c r="D18" s="194"/>
      <c r="E18" s="190"/>
      <c r="G18" s="422" t="s">
        <v>220</v>
      </c>
      <c r="H18" s="423"/>
      <c r="I18" s="423"/>
      <c r="J18" s="205" t="s">
        <v>190</v>
      </c>
      <c r="K18" s="501" t="s">
        <v>467</v>
      </c>
      <c r="L18" s="502"/>
      <c r="M18" s="334" t="str">
        <f>IF(AND('Fiche de coûts part1'!J18="A saisir",'Fiche de coûts part2'!J18="A saisir"),"Non renseigné",IF('Fiche de coûts part2'!J18&lt;&gt;"A saisir",'Fiche de coûts part1'!J18+'Fiche de coûts part2'!J18,'Fiche de coûts part1'!J18))</f>
        <v>Non renseigné</v>
      </c>
    </row>
    <row r="19" spans="1:13" ht="16.5" thickTop="1" thickBot="1" x14ac:dyDescent="0.3">
      <c r="D19" s="194"/>
      <c r="E19" s="190"/>
      <c r="G19" s="418"/>
      <c r="H19" s="418"/>
      <c r="I19" s="418"/>
      <c r="J19" s="192"/>
    </row>
    <row r="20" spans="1:13" ht="15.75" thickBot="1" x14ac:dyDescent="0.3">
      <c r="D20" s="194"/>
      <c r="E20" s="190"/>
      <c r="G20" s="419" t="s">
        <v>212</v>
      </c>
      <c r="H20" s="420"/>
      <c r="I20" s="420"/>
      <c r="J20" s="420"/>
      <c r="K20" s="420"/>
      <c r="L20" s="420"/>
      <c r="M20" s="421"/>
    </row>
    <row r="21" spans="1:13" x14ac:dyDescent="0.25">
      <c r="D21" s="194"/>
      <c r="E21" s="190"/>
      <c r="G21" s="414" t="s">
        <v>208</v>
      </c>
      <c r="H21" s="415"/>
      <c r="I21" s="415"/>
      <c r="J21" s="317">
        <f>IF(I50=0,K49,0)</f>
        <v>0</v>
      </c>
      <c r="K21" s="317">
        <f>IF(I50=0,L49,0)</f>
        <v>0</v>
      </c>
      <c r="L21" s="397">
        <f>IF(I50=0,M49,0)</f>
        <v>0</v>
      </c>
      <c r="M21" s="398"/>
    </row>
    <row r="22" spans="1:13" x14ac:dyDescent="0.25">
      <c r="D22" s="194"/>
      <c r="E22" s="190"/>
      <c r="G22" s="380" t="s">
        <v>209</v>
      </c>
      <c r="H22" s="381"/>
      <c r="I22" s="381"/>
      <c r="J22" s="318">
        <f>IF(OR(LEFT(C8,2)="FC",LEFT(C8,2)="Ce"),ROUND(J21/C9,0),"Non applicable")</f>
        <v>0</v>
      </c>
      <c r="K22" s="318">
        <f>IF(OR(LEFT(C8,2)="FC",LEFT(C8,2)="Ce"),ROUND(K21/C9,0),"Non applicable")</f>
        <v>0</v>
      </c>
      <c r="L22" s="426">
        <f>IF(OR(LEFT(C8,2)="FC",LEFT(C8,2)="Ce"),ROUND(L21/C9,0),"Non applicable")</f>
        <v>0</v>
      </c>
      <c r="M22" s="427"/>
    </row>
    <row r="23" spans="1:13" x14ac:dyDescent="0.25">
      <c r="D23" s="194"/>
      <c r="E23" s="190"/>
      <c r="G23" s="380" t="s">
        <v>210</v>
      </c>
      <c r="H23" s="381"/>
      <c r="I23" s="381"/>
      <c r="J23" s="318">
        <f>J21/C14</f>
        <v>0</v>
      </c>
      <c r="K23" s="318">
        <f>K21/C14</f>
        <v>0</v>
      </c>
      <c r="L23" s="426">
        <f>L21/C14</f>
        <v>0</v>
      </c>
      <c r="M23" s="427"/>
    </row>
    <row r="24" spans="1:13" ht="15.75" thickBot="1" x14ac:dyDescent="0.3">
      <c r="D24" s="194"/>
      <c r="E24" s="190"/>
      <c r="G24" s="387" t="s">
        <v>211</v>
      </c>
      <c r="H24" s="388"/>
      <c r="I24" s="388"/>
      <c r="J24" s="319">
        <f>IF(LEFT(J22,1)="N","Non applicable",ROUND(J23/C9,0))</f>
        <v>0</v>
      </c>
      <c r="K24" s="319">
        <f>IF(LEFT(K22,1)="N","Non applicable",ROUND(K23/C9,0))</f>
        <v>0</v>
      </c>
      <c r="L24" s="395">
        <f>IF(LEFT(K22,1)="N","Non applicable",ROUND(K23/C9,0))</f>
        <v>0</v>
      </c>
      <c r="M24" s="396"/>
    </row>
    <row r="25" spans="1:13" ht="15.75" thickBot="1" x14ac:dyDescent="0.3">
      <c r="D25" s="194"/>
      <c r="E25" s="190"/>
      <c r="G25" s="191"/>
      <c r="H25" s="191"/>
      <c r="I25" s="191"/>
      <c r="J25" s="192"/>
    </row>
    <row r="26" spans="1:13" ht="45.75" thickBot="1" x14ac:dyDescent="0.3">
      <c r="B26" s="4"/>
      <c r="G26" s="193"/>
      <c r="K26" s="20" t="s">
        <v>204</v>
      </c>
      <c r="L26" s="21" t="s">
        <v>203</v>
      </c>
      <c r="M26" s="21" t="s">
        <v>205</v>
      </c>
    </row>
    <row r="27" spans="1:13" ht="90.75" thickBot="1" x14ac:dyDescent="0.3">
      <c r="A27" s="134" t="s">
        <v>18</v>
      </c>
      <c r="B27" s="18" t="s">
        <v>0</v>
      </c>
      <c r="C27" s="18" t="s">
        <v>24</v>
      </c>
      <c r="D27" s="18" t="s">
        <v>25</v>
      </c>
      <c r="E27" s="18" t="s">
        <v>27</v>
      </c>
      <c r="F27" s="18" t="s">
        <v>47</v>
      </c>
      <c r="G27" s="18" t="s">
        <v>46</v>
      </c>
      <c r="H27" s="18" t="s">
        <v>45</v>
      </c>
      <c r="I27" s="18" t="s">
        <v>165</v>
      </c>
      <c r="J27" s="18" t="s">
        <v>44</v>
      </c>
      <c r="K27" s="18" t="s">
        <v>30</v>
      </c>
      <c r="L27" s="19" t="s">
        <v>29</v>
      </c>
      <c r="M27" s="151" t="s">
        <v>189</v>
      </c>
    </row>
    <row r="28" spans="1:13" ht="15.75" thickBot="1" x14ac:dyDescent="0.3">
      <c r="M28" s="152"/>
    </row>
    <row r="29" spans="1:13" ht="15.75" thickBot="1" x14ac:dyDescent="0.3">
      <c r="A29" s="358" t="s">
        <v>174</v>
      </c>
      <c r="B29" s="360"/>
      <c r="C29" s="360"/>
      <c r="D29" s="360"/>
      <c r="E29" s="360"/>
      <c r="F29" s="360"/>
      <c r="G29" s="360"/>
      <c r="H29" s="360"/>
      <c r="I29" s="360"/>
      <c r="J29" s="360"/>
      <c r="K29" s="123">
        <f>K53+K97</f>
        <v>6334.0599999999995</v>
      </c>
      <c r="L29" s="135">
        <f>L53+L97</f>
        <v>8400.9272009999986</v>
      </c>
      <c r="M29" s="153">
        <f>M53+M97</f>
        <v>8072.8536960000001</v>
      </c>
    </row>
    <row r="30" spans="1:13" ht="15.75" thickBot="1" x14ac:dyDescent="0.3"/>
    <row r="31" spans="1:13" ht="14.45" customHeight="1" thickBot="1" x14ac:dyDescent="0.3">
      <c r="A31" s="372" t="s">
        <v>167</v>
      </c>
      <c r="B31" s="373"/>
      <c r="C31" s="373"/>
      <c r="D31" s="373"/>
      <c r="E31" s="373"/>
      <c r="F31" s="373"/>
      <c r="G31" s="373"/>
      <c r="H31" s="373"/>
      <c r="I31" s="373"/>
      <c r="J31" s="373"/>
      <c r="K31" s="373"/>
      <c r="L31" s="373"/>
      <c r="M31" s="374"/>
    </row>
    <row r="32" spans="1:13" ht="14.45" customHeight="1" x14ac:dyDescent="0.25">
      <c r="A32" s="368" t="s">
        <v>19</v>
      </c>
      <c r="B32" s="22" t="s">
        <v>14</v>
      </c>
      <c r="C32" s="302">
        <f>'Fiche de coûts'!C32+'Fiche de coûts part1'!C32+'Fiche de coûts part2'!C32</f>
        <v>0</v>
      </c>
      <c r="D32" s="302">
        <f>'Fiche de coûts'!D32+'Fiche de coûts part1'!D32+'Fiche de coûts part2'!D32</f>
        <v>0</v>
      </c>
      <c r="E32" s="24">
        <f>C32*C108+C109*D32</f>
        <v>0</v>
      </c>
      <c r="F32" s="82"/>
      <c r="G32" s="82"/>
      <c r="H32" s="83"/>
      <c r="I32" s="24">
        <f>'Fiche de coûts'!I32+'Fiche de coûts part1'!I32+'Fiche de coûts part2'!I32</f>
        <v>0</v>
      </c>
      <c r="J32" s="24">
        <f>'Fiche de coûts'!J32+'Fiche de coûts part1'!J32+'Fiche de coûts part2'!J32</f>
        <v>0</v>
      </c>
      <c r="K32" s="24">
        <f>SUM(E32:J32)-F32-G32</f>
        <v>0</v>
      </c>
      <c r="L32" s="24">
        <f>E32*(1+C110)+I32+J32*(1+C112)</f>
        <v>0</v>
      </c>
      <c r="M32" s="154">
        <f>E32*(1+C119)+I32+J32</f>
        <v>0</v>
      </c>
    </row>
    <row r="33" spans="1:13" ht="14.45" customHeight="1" thickBot="1" x14ac:dyDescent="0.3">
      <c r="A33" s="370"/>
      <c r="B33" s="27" t="s">
        <v>13</v>
      </c>
      <c r="C33" s="303">
        <f>'Fiche de coûts'!C33+'Fiche de coûts part1'!C33+'Fiche de coûts part2'!C33</f>
        <v>0</v>
      </c>
      <c r="D33" s="303">
        <f>'Fiche de coûts'!D33+'Fiche de coûts part1'!D33+'Fiche de coûts part2'!D33</f>
        <v>0</v>
      </c>
      <c r="E33" s="29">
        <f>C33*C108+C109*D33</f>
        <v>0</v>
      </c>
      <c r="F33" s="84"/>
      <c r="G33" s="84"/>
      <c r="H33" s="85"/>
      <c r="I33" s="29">
        <f>'Fiche de coûts'!I33+'Fiche de coûts part1'!I33+'Fiche de coûts part2'!I33</f>
        <v>0</v>
      </c>
      <c r="J33" s="29">
        <f>'Fiche de coûts'!J33+'Fiche de coûts part1'!J33+'Fiche de coûts part2'!J33</f>
        <v>0</v>
      </c>
      <c r="K33" s="29">
        <f t="shared" ref="K33:K48" si="2">SUM(E33:J33)-F33-G33</f>
        <v>0</v>
      </c>
      <c r="L33" s="29">
        <f>E33*(1+C110)+I33+J33*(1+C112)</f>
        <v>0</v>
      </c>
      <c r="M33" s="155">
        <f>E33*(1+C119)+I33+J33</f>
        <v>0</v>
      </c>
    </row>
    <row r="34" spans="1:13" x14ac:dyDescent="0.25">
      <c r="A34" s="368" t="s">
        <v>11</v>
      </c>
      <c r="B34" s="32" t="s">
        <v>2</v>
      </c>
      <c r="C34" s="302">
        <f>'Fiche de coûts'!C34+'Fiche de coûts part1'!C34+'Fiche de coûts part2'!C34</f>
        <v>0</v>
      </c>
      <c r="D34" s="302">
        <f>'Fiche de coûts'!D34+'Fiche de coûts part1'!D34+'Fiche de coûts part2'!D34</f>
        <v>0</v>
      </c>
      <c r="E34" s="24">
        <f>C34*C108+C109*D34</f>
        <v>0</v>
      </c>
      <c r="F34" s="82"/>
      <c r="G34" s="82"/>
      <c r="H34" s="83"/>
      <c r="I34" s="24">
        <f>'Fiche de coûts'!I34+'Fiche de coûts part1'!I34+'Fiche de coûts part2'!I34</f>
        <v>0</v>
      </c>
      <c r="J34" s="24">
        <f>'Fiche de coûts'!J34+'Fiche de coûts part1'!J34+'Fiche de coûts part2'!J34</f>
        <v>0</v>
      </c>
      <c r="K34" s="24">
        <f t="shared" si="2"/>
        <v>0</v>
      </c>
      <c r="L34" s="24">
        <f>E34*(1+C110)+I34+J34*(1+C112)</f>
        <v>0</v>
      </c>
      <c r="M34" s="154">
        <f>E34*(1+C119)+I34+J34</f>
        <v>0</v>
      </c>
    </row>
    <row r="35" spans="1:13" x14ac:dyDescent="0.25">
      <c r="A35" s="369"/>
      <c r="B35" s="5" t="s">
        <v>3</v>
      </c>
      <c r="C35" s="304">
        <f>'Fiche de coûts'!C35+'Fiche de coûts part1'!C35+'Fiche de coûts part2'!C35</f>
        <v>0</v>
      </c>
      <c r="D35" s="304">
        <f>'Fiche de coûts'!D35+'Fiche de coûts part1'!D35+'Fiche de coûts part2'!D35</f>
        <v>0</v>
      </c>
      <c r="E35" s="15">
        <f>C35*C108+C109*D35</f>
        <v>0</v>
      </c>
      <c r="F35" s="86"/>
      <c r="G35" s="86"/>
      <c r="H35" s="87"/>
      <c r="I35" s="15">
        <f>'Fiche de coûts'!I35+'Fiche de coûts part1'!I35+'Fiche de coûts part2'!I35</f>
        <v>0</v>
      </c>
      <c r="J35" s="15">
        <f>'Fiche de coûts'!J35+'Fiche de coûts part1'!J35+'Fiche de coûts part2'!J35</f>
        <v>0</v>
      </c>
      <c r="K35" s="15">
        <f t="shared" si="2"/>
        <v>0</v>
      </c>
      <c r="L35" s="15">
        <f>E35*(1+C110)+I35+J35*(1+C112)</f>
        <v>0</v>
      </c>
      <c r="M35" s="156">
        <f>E35*(1+C119)+I35+J35</f>
        <v>0</v>
      </c>
    </row>
    <row r="36" spans="1:13" x14ac:dyDescent="0.25">
      <c r="A36" s="369"/>
      <c r="B36" s="5" t="s">
        <v>4</v>
      </c>
      <c r="C36" s="304">
        <f>'Fiche de coûts'!C36+'Fiche de coûts part1'!C36+'Fiche de coûts part2'!C36</f>
        <v>0</v>
      </c>
      <c r="D36" s="304">
        <f>'Fiche de coûts'!D36+'Fiche de coûts part1'!D36+'Fiche de coûts part2'!D36</f>
        <v>0</v>
      </c>
      <c r="E36" s="15">
        <f>C36*C108+C109*D36</f>
        <v>0</v>
      </c>
      <c r="F36" s="86"/>
      <c r="G36" s="86"/>
      <c r="H36" s="87"/>
      <c r="I36" s="15">
        <f>'Fiche de coûts'!I36+'Fiche de coûts part1'!I36+'Fiche de coûts part2'!I36</f>
        <v>0</v>
      </c>
      <c r="J36" s="15">
        <f>'Fiche de coûts'!J36+'Fiche de coûts part1'!J36+'Fiche de coûts part2'!J36</f>
        <v>0</v>
      </c>
      <c r="K36" s="15">
        <f t="shared" si="2"/>
        <v>0</v>
      </c>
      <c r="L36" s="15">
        <f>E36*(1+C110)+I36+J36*(1+C112)</f>
        <v>0</v>
      </c>
      <c r="M36" s="156">
        <f>E36*(1+C119)+I36+J36</f>
        <v>0</v>
      </c>
    </row>
    <row r="37" spans="1:13" ht="15.75" thickBot="1" x14ac:dyDescent="0.3">
      <c r="A37" s="370"/>
      <c r="B37" s="33" t="s">
        <v>5</v>
      </c>
      <c r="C37" s="303">
        <f>'Fiche de coûts'!C37+'Fiche de coûts part1'!C37+'Fiche de coûts part2'!C37</f>
        <v>0</v>
      </c>
      <c r="D37" s="303">
        <f>'Fiche de coûts'!D37+'Fiche de coûts part1'!D37+'Fiche de coûts part2'!D37</f>
        <v>0</v>
      </c>
      <c r="E37" s="29">
        <f>C37*C108+C109*D37</f>
        <v>0</v>
      </c>
      <c r="F37" s="84"/>
      <c r="G37" s="84"/>
      <c r="H37" s="85"/>
      <c r="I37" s="29">
        <f>'Fiche de coûts'!I37+'Fiche de coûts part1'!I37+'Fiche de coûts part2'!I37</f>
        <v>0</v>
      </c>
      <c r="J37" s="29">
        <f>'Fiche de coûts'!J37+'Fiche de coûts part1'!J37+'Fiche de coûts part2'!J37</f>
        <v>0</v>
      </c>
      <c r="K37" s="29">
        <f t="shared" si="2"/>
        <v>0</v>
      </c>
      <c r="L37" s="29">
        <f>E37*(1+C110)+I37+J37*(1+C112)</f>
        <v>0</v>
      </c>
      <c r="M37" s="155">
        <f>E37*(1+C119)+I37+J37</f>
        <v>0</v>
      </c>
    </row>
    <row r="38" spans="1:13" x14ac:dyDescent="0.25">
      <c r="A38" s="368" t="s">
        <v>12</v>
      </c>
      <c r="B38" s="22" t="s">
        <v>6</v>
      </c>
      <c r="C38" s="302">
        <f>'Fiche de coûts'!C38+'Fiche de coûts part1'!C38+'Fiche de coûts part2'!C38</f>
        <v>0</v>
      </c>
      <c r="D38" s="302">
        <f>'Fiche de coûts'!D38+'Fiche de coûts part1'!D38+'Fiche de coûts part2'!D38</f>
        <v>0</v>
      </c>
      <c r="E38" s="24">
        <f>C38*C108+C109*D38</f>
        <v>0</v>
      </c>
      <c r="F38" s="82"/>
      <c r="G38" s="82"/>
      <c r="H38" s="83"/>
      <c r="I38" s="24">
        <f>'Fiche de coûts'!I38+'Fiche de coûts part1'!I38+'Fiche de coûts part2'!I38</f>
        <v>0</v>
      </c>
      <c r="J38" s="24">
        <f>'Fiche de coûts'!J38+'Fiche de coûts part1'!J38+'Fiche de coûts part2'!J38</f>
        <v>0</v>
      </c>
      <c r="K38" s="24">
        <f t="shared" si="2"/>
        <v>0</v>
      </c>
      <c r="L38" s="24">
        <f>E38*(1+C110)+I38+J38*(1+C112)</f>
        <v>0</v>
      </c>
      <c r="M38" s="154">
        <f>E38*(1+C119)+I38+J38</f>
        <v>0</v>
      </c>
    </row>
    <row r="39" spans="1:13" x14ac:dyDescent="0.25">
      <c r="A39" s="369"/>
      <c r="B39" s="8" t="s">
        <v>7</v>
      </c>
      <c r="C39" s="304">
        <f>'Fiche de coûts'!C39+'Fiche de coûts part1'!C39+'Fiche de coûts part2'!C39</f>
        <v>0</v>
      </c>
      <c r="D39" s="304">
        <f>'Fiche de coûts'!D39+'Fiche de coûts part1'!D39+'Fiche de coûts part2'!D39</f>
        <v>0</v>
      </c>
      <c r="E39" s="15">
        <f>C39*C108+C109*D39</f>
        <v>0</v>
      </c>
      <c r="F39" s="86"/>
      <c r="G39" s="86"/>
      <c r="H39" s="87"/>
      <c r="I39" s="15">
        <f>'Fiche de coûts'!I39+'Fiche de coûts part1'!I39+'Fiche de coûts part2'!I39</f>
        <v>0</v>
      </c>
      <c r="J39" s="15">
        <f>'Fiche de coûts'!J39+'Fiche de coûts part1'!J39+'Fiche de coûts part2'!J39</f>
        <v>0</v>
      </c>
      <c r="K39" s="15">
        <f t="shared" si="2"/>
        <v>0</v>
      </c>
      <c r="L39" s="15">
        <f>E39*(1+C110)+I39+J39*(1+C112)</f>
        <v>0</v>
      </c>
      <c r="M39" s="156">
        <f>E39*(1+C119)+I39+J39</f>
        <v>0</v>
      </c>
    </row>
    <row r="40" spans="1:13" x14ac:dyDescent="0.25">
      <c r="A40" s="369"/>
      <c r="B40" s="5" t="s">
        <v>8</v>
      </c>
      <c r="C40" s="304">
        <f>'Fiche de coûts'!C40+'Fiche de coûts part1'!C40+'Fiche de coûts part2'!C40</f>
        <v>0</v>
      </c>
      <c r="D40" s="304">
        <f>'Fiche de coûts'!D40+'Fiche de coûts part1'!D40+'Fiche de coûts part2'!D40</f>
        <v>0</v>
      </c>
      <c r="E40" s="15">
        <f>C40*C108+C109*D40</f>
        <v>0</v>
      </c>
      <c r="F40" s="86"/>
      <c r="G40" s="86"/>
      <c r="H40" s="87"/>
      <c r="I40" s="15">
        <f>'Fiche de coûts'!I40+'Fiche de coûts part1'!I40+'Fiche de coûts part2'!I40</f>
        <v>0</v>
      </c>
      <c r="J40" s="15">
        <f>'Fiche de coûts'!J40+'Fiche de coûts part1'!J40+'Fiche de coûts part2'!J40</f>
        <v>0</v>
      </c>
      <c r="K40" s="15">
        <f t="shared" si="2"/>
        <v>0</v>
      </c>
      <c r="L40" s="15">
        <f>E40*(1+C110)+I40+J40*(1+C112)</f>
        <v>0</v>
      </c>
      <c r="M40" s="156">
        <f>E40*(1+C119)+I40+J40</f>
        <v>0</v>
      </c>
    </row>
    <row r="41" spans="1:13" x14ac:dyDescent="0.25">
      <c r="A41" s="369"/>
      <c r="B41" s="186" t="s">
        <v>380</v>
      </c>
      <c r="C41" s="304">
        <f>'Fiche de coûts'!C41+'Fiche de coûts part1'!C41+'Fiche de coûts part2'!C41</f>
        <v>0</v>
      </c>
      <c r="D41" s="304">
        <f>'Fiche de coûts'!D41+'Fiche de coûts part1'!D41+'Fiche de coûts part2'!D41</f>
        <v>0</v>
      </c>
      <c r="E41" s="15">
        <f>C41*C108+C109*D41</f>
        <v>0</v>
      </c>
      <c r="F41" s="86"/>
      <c r="G41" s="86"/>
      <c r="H41" s="87"/>
      <c r="I41" s="15">
        <f>'Fiche de coûts'!I41+'Fiche de coûts part1'!I41+'Fiche de coûts part2'!I41</f>
        <v>0</v>
      </c>
      <c r="J41" s="15">
        <f>'Fiche de coûts'!J41+'Fiche de coûts part1'!J41+'Fiche de coûts part2'!J41</f>
        <v>0</v>
      </c>
      <c r="K41" s="15">
        <f t="shared" si="2"/>
        <v>0</v>
      </c>
      <c r="L41" s="15">
        <f>E41*(1+C110)+I41+J41*(1+C112)</f>
        <v>0</v>
      </c>
      <c r="M41" s="156">
        <f>E41*(1+C119)+I41+J41</f>
        <v>0</v>
      </c>
    </row>
    <row r="42" spans="1:13" x14ac:dyDescent="0.25">
      <c r="A42" s="369"/>
      <c r="B42" s="186" t="s">
        <v>380</v>
      </c>
      <c r="C42" s="304">
        <f>'Fiche de coûts'!C42+'Fiche de coûts part1'!C42+'Fiche de coûts part2'!C42</f>
        <v>0</v>
      </c>
      <c r="D42" s="304">
        <f>'Fiche de coûts'!D42+'Fiche de coûts part1'!D42+'Fiche de coûts part2'!D42</f>
        <v>0</v>
      </c>
      <c r="E42" s="15">
        <f>C42*C108+C109*D42</f>
        <v>0</v>
      </c>
      <c r="F42" s="86"/>
      <c r="G42" s="86"/>
      <c r="H42" s="87"/>
      <c r="I42" s="15">
        <f>'Fiche de coûts'!I42+'Fiche de coûts part1'!I42+'Fiche de coûts part2'!I42</f>
        <v>0</v>
      </c>
      <c r="J42" s="15">
        <f>'Fiche de coûts'!J42+'Fiche de coûts part1'!J42+'Fiche de coûts part2'!J42</f>
        <v>0</v>
      </c>
      <c r="K42" s="15">
        <f t="shared" si="2"/>
        <v>0</v>
      </c>
      <c r="L42" s="15">
        <f>E42*(1+C110)+I42+J42*(1+C112)</f>
        <v>0</v>
      </c>
      <c r="M42" s="156">
        <f>E42*(1+C119)+I42+J42</f>
        <v>0</v>
      </c>
    </row>
    <row r="43" spans="1:13" x14ac:dyDescent="0.25">
      <c r="A43" s="369"/>
      <c r="B43" s="186" t="s">
        <v>380</v>
      </c>
      <c r="C43" s="304">
        <f>'Fiche de coûts'!C43+'Fiche de coûts part1'!C43+'Fiche de coûts part2'!C43</f>
        <v>0</v>
      </c>
      <c r="D43" s="304">
        <f>'Fiche de coûts'!D43+'Fiche de coûts part1'!D43+'Fiche de coûts part2'!D43</f>
        <v>0</v>
      </c>
      <c r="E43" s="15">
        <f>C43*C108+C109*D43</f>
        <v>0</v>
      </c>
      <c r="F43" s="86"/>
      <c r="G43" s="86"/>
      <c r="H43" s="87"/>
      <c r="I43" s="15">
        <f>'Fiche de coûts'!I43+'Fiche de coûts part1'!I43+'Fiche de coûts part2'!I43</f>
        <v>0</v>
      </c>
      <c r="J43" s="15">
        <f>'Fiche de coûts'!J43+'Fiche de coûts part1'!J43+'Fiche de coûts part2'!J43</f>
        <v>0</v>
      </c>
      <c r="K43" s="15">
        <f t="shared" si="2"/>
        <v>0</v>
      </c>
      <c r="L43" s="15">
        <f>E43*(1+C110)+I43+J43*(1+C112)</f>
        <v>0</v>
      </c>
      <c r="M43" s="156">
        <f>E43*(1+C119)+I43+J43</f>
        <v>0</v>
      </c>
    </row>
    <row r="44" spans="1:13" x14ac:dyDescent="0.25">
      <c r="A44" s="369"/>
      <c r="B44" s="186" t="s">
        <v>380</v>
      </c>
      <c r="C44" s="304">
        <f>'Fiche de coûts'!C44+'Fiche de coûts part1'!C44+'Fiche de coûts part2'!C44</f>
        <v>0</v>
      </c>
      <c r="D44" s="304">
        <f>'Fiche de coûts'!D44+'Fiche de coûts part1'!D44+'Fiche de coûts part2'!D44</f>
        <v>0</v>
      </c>
      <c r="E44" s="15">
        <f>C44*C108+C109*D44</f>
        <v>0</v>
      </c>
      <c r="F44" s="86"/>
      <c r="G44" s="86"/>
      <c r="H44" s="87"/>
      <c r="I44" s="15">
        <f>'Fiche de coûts'!I44+'Fiche de coûts part1'!I44+'Fiche de coûts part2'!I44</f>
        <v>0</v>
      </c>
      <c r="J44" s="15">
        <f>'Fiche de coûts'!J44+'Fiche de coûts part1'!J44+'Fiche de coûts part2'!J44</f>
        <v>0</v>
      </c>
      <c r="K44" s="15">
        <f t="shared" si="2"/>
        <v>0</v>
      </c>
      <c r="L44" s="15">
        <f>E44*(1+C110)+I44+J44*(1+C112)</f>
        <v>0</v>
      </c>
      <c r="M44" s="156">
        <f>E44*(1+C119)+I44+J44</f>
        <v>0</v>
      </c>
    </row>
    <row r="45" spans="1:13" x14ac:dyDescent="0.25">
      <c r="A45" s="369"/>
      <c r="B45" s="7" t="s">
        <v>9</v>
      </c>
      <c r="C45" s="304">
        <f>'Fiche de coûts'!C45+'Fiche de coûts part1'!C45+'Fiche de coûts part2'!C45</f>
        <v>0</v>
      </c>
      <c r="D45" s="304">
        <f>'Fiche de coûts'!D45+'Fiche de coûts part1'!D45+'Fiche de coûts part2'!D45</f>
        <v>0</v>
      </c>
      <c r="E45" s="15">
        <f>C45*C108+C109*D45</f>
        <v>0</v>
      </c>
      <c r="F45" s="86"/>
      <c r="G45" s="86"/>
      <c r="H45" s="87"/>
      <c r="I45" s="15">
        <f>'Fiche de coûts'!I45+'Fiche de coûts part1'!I45+'Fiche de coûts part2'!I45</f>
        <v>0</v>
      </c>
      <c r="J45" s="15">
        <f>'Fiche de coûts'!J45+'Fiche de coûts part1'!J45+'Fiche de coûts part2'!J45</f>
        <v>0</v>
      </c>
      <c r="K45" s="15">
        <f t="shared" si="2"/>
        <v>0</v>
      </c>
      <c r="L45" s="15">
        <f>E45*(1+C110)+I45+J45*(1+C112)</f>
        <v>0</v>
      </c>
      <c r="M45" s="156">
        <f>E45*(1+C119)+I45+J45</f>
        <v>0</v>
      </c>
    </row>
    <row r="46" spans="1:13" x14ac:dyDescent="0.25">
      <c r="A46" s="371"/>
      <c r="B46" s="5" t="s">
        <v>10</v>
      </c>
      <c r="C46" s="305">
        <f>'Fiche de coûts'!C46+'Fiche de coûts part1'!C46+'Fiche de coûts part2'!C46</f>
        <v>0</v>
      </c>
      <c r="D46" s="304">
        <f>'Fiche de coûts'!D46+'Fiche de coûts part1'!D46+'Fiche de coûts part2'!D46</f>
        <v>0</v>
      </c>
      <c r="E46" s="15">
        <f>C46*C108+C109*D46</f>
        <v>0</v>
      </c>
      <c r="F46" s="86"/>
      <c r="G46" s="86"/>
      <c r="H46" s="87"/>
      <c r="I46" s="77">
        <f>'Fiche de coûts'!I46+'Fiche de coûts part1'!I46+'Fiche de coûts part2'!I46</f>
        <v>0</v>
      </c>
      <c r="J46" s="77">
        <f>'Fiche de coûts'!J46+'Fiche de coûts part1'!J46+'Fiche de coûts part2'!J46</f>
        <v>0</v>
      </c>
      <c r="K46" s="77">
        <f t="shared" si="2"/>
        <v>0</v>
      </c>
      <c r="L46" s="15">
        <f>E46*(1+C110)+I46+J46*(1+C112)</f>
        <v>0</v>
      </c>
      <c r="M46" s="156">
        <f>E46*(1+C119)+I46+J46</f>
        <v>0</v>
      </c>
    </row>
    <row r="47" spans="1:13" ht="15.75" thickBot="1" x14ac:dyDescent="0.3">
      <c r="A47" s="371"/>
      <c r="B47" s="222" t="s">
        <v>223</v>
      </c>
      <c r="C47" s="306">
        <f>'Fiche de coûts'!C47+'Fiche de coûts part1'!C47+'Fiche de coûts part2'!C47</f>
        <v>0</v>
      </c>
      <c r="D47" s="307">
        <f>'Fiche de coûts'!D47+'Fiche de coûts part1'!D47+'Fiche de coûts part2'!D47</f>
        <v>7</v>
      </c>
      <c r="E47" s="225">
        <f>C47*C108+C109*D47</f>
        <v>273.83999999999997</v>
      </c>
      <c r="F47" s="226"/>
      <c r="G47" s="226"/>
      <c r="H47" s="227"/>
      <c r="I47" s="225">
        <f>'Fiche de coûts'!I47+'Fiche de coûts part1'!I47+'Fiche de coûts part2'!I47</f>
        <v>0</v>
      </c>
      <c r="J47" s="309">
        <f>'Fiche de coûts'!J47+'Fiche de coûts part1'!J47+'Fiche de coûts part2'!J47</f>
        <v>0</v>
      </c>
      <c r="K47" s="225">
        <f t="shared" si="2"/>
        <v>273.83999999999997</v>
      </c>
      <c r="L47" s="225">
        <f>E47*(1+C110)+I47+J47*(1+C112)</f>
        <v>589.55013599999984</v>
      </c>
      <c r="M47" s="230">
        <f>E47*(1+C119)+I47+J47</f>
        <v>559.07174399999997</v>
      </c>
    </row>
    <row r="48" spans="1:13" ht="15.75" thickBot="1" x14ac:dyDescent="0.3">
      <c r="A48" s="371"/>
      <c r="B48" s="173" t="s">
        <v>26</v>
      </c>
      <c r="C48" s="172"/>
      <c r="D48" s="88"/>
      <c r="E48" s="89"/>
      <c r="F48" s="88"/>
      <c r="G48" s="88"/>
      <c r="H48" s="89"/>
      <c r="I48" s="220"/>
      <c r="J48" s="310">
        <f>'Fiche de coûts'!J48+'Fiche de coûts part1'!J48+'Fiche de coûts part2'!J48</f>
        <v>0</v>
      </c>
      <c r="K48" s="221">
        <f t="shared" si="2"/>
        <v>0</v>
      </c>
      <c r="L48" s="77">
        <f>E48*(1+C110)+I48+J48*(1+C112)</f>
        <v>0</v>
      </c>
      <c r="M48" s="157">
        <f>E48*(1+C119)+I48+J48</f>
        <v>0</v>
      </c>
    </row>
    <row r="49" spans="1:13" ht="14.45" customHeight="1" thickBot="1" x14ac:dyDescent="0.3">
      <c r="A49" s="358" t="s">
        <v>15</v>
      </c>
      <c r="B49" s="400"/>
      <c r="C49" s="80">
        <f>SUM(C32:C48)</f>
        <v>0</v>
      </c>
      <c r="D49" s="80">
        <f>SUM(D32:D48)</f>
        <v>7</v>
      </c>
      <c r="E49" s="81">
        <f>SUM(E32:E46)</f>
        <v>0</v>
      </c>
      <c r="F49" s="90"/>
      <c r="G49" s="90"/>
      <c r="H49" s="91"/>
      <c r="I49" s="81">
        <f>SUM(I32:I46)</f>
        <v>0</v>
      </c>
      <c r="J49" s="174">
        <f>SUM(J32:J48)</f>
        <v>0</v>
      </c>
      <c r="K49" s="81">
        <f>SUM(K32:K48)</f>
        <v>273.83999999999997</v>
      </c>
      <c r="L49" s="81">
        <f>SUM(L32:L48)</f>
        <v>589.55013599999984</v>
      </c>
      <c r="M49" s="158">
        <f t="shared" ref="M49" si="3">SUM(M32:M48)</f>
        <v>559.07174399999997</v>
      </c>
    </row>
    <row r="50" spans="1:13" ht="29.45" customHeight="1" thickBot="1" x14ac:dyDescent="0.3">
      <c r="A50" s="361" t="s">
        <v>196</v>
      </c>
      <c r="B50" s="362"/>
      <c r="C50" s="362"/>
      <c r="D50" s="362"/>
      <c r="E50" s="362"/>
      <c r="F50" s="362"/>
      <c r="G50" s="362"/>
      <c r="H50" s="362"/>
      <c r="I50" s="180">
        <f>'Fiche de coûts'!I50</f>
        <v>1</v>
      </c>
      <c r="J50" s="178"/>
      <c r="K50" s="178"/>
      <c r="L50" s="179"/>
    </row>
    <row r="51" spans="1:13" ht="15.75" thickBot="1" x14ac:dyDescent="0.3">
      <c r="A51" s="358" t="s">
        <v>166</v>
      </c>
      <c r="B51" s="359"/>
      <c r="C51" s="80">
        <f>IF(I50=0,0,ROUND(C49/I50,0))</f>
        <v>0</v>
      </c>
      <c r="D51" s="80">
        <f>IF(I50=0,0,ROUND(D49/I50,0))</f>
        <v>7</v>
      </c>
      <c r="E51" s="81">
        <f>IF(I50=0,0,ROUND(E49/I50,0))</f>
        <v>0</v>
      </c>
      <c r="F51" s="90"/>
      <c r="G51" s="90"/>
      <c r="H51" s="91"/>
      <c r="I51" s="81">
        <f>IF(I50=0,0,ROUND(I49/I50,0))</f>
        <v>0</v>
      </c>
      <c r="J51" s="81">
        <f>IF(I50=0,0,ROUND(J49/I50,0))</f>
        <v>0</v>
      </c>
      <c r="K51" s="81">
        <f>IF(I50=0,0,ROUND(K49/I50,0))</f>
        <v>274</v>
      </c>
      <c r="L51" s="81">
        <f>IF(I50=0,0,ROUND(L49/I50,0))</f>
        <v>590</v>
      </c>
      <c r="M51" s="148">
        <f>IF(I50=0,0,ROUND(M49/I50,0))</f>
        <v>559</v>
      </c>
    </row>
    <row r="52" spans="1:13" ht="15.75" thickBot="1" x14ac:dyDescent="0.3">
      <c r="B52" s="124"/>
      <c r="C52" s="124"/>
      <c r="D52" s="124"/>
      <c r="E52" s="124"/>
      <c r="F52" s="363" t="s">
        <v>169</v>
      </c>
      <c r="G52" s="364"/>
      <c r="H52" s="365"/>
      <c r="I52" s="125">
        <f>'Fiche de coûts'!I52</f>
        <v>2</v>
      </c>
      <c r="J52" s="124"/>
      <c r="K52" s="124"/>
      <c r="L52" s="149"/>
    </row>
    <row r="53" spans="1:13" ht="15.75" thickBot="1" x14ac:dyDescent="0.3">
      <c r="A53" s="358" t="s">
        <v>170</v>
      </c>
      <c r="B53" s="359"/>
      <c r="C53" s="80">
        <f>ROUND(C51/I52,0)</f>
        <v>0</v>
      </c>
      <c r="D53" s="80">
        <f>ROUND(D51/I52,0)</f>
        <v>4</v>
      </c>
      <c r="E53" s="81">
        <f>ROUND(E51/I52,0)</f>
        <v>0</v>
      </c>
      <c r="F53" s="90"/>
      <c r="G53" s="90"/>
      <c r="H53" s="91"/>
      <c r="I53" s="81">
        <f>ROUND(I51/I52,0)</f>
        <v>0</v>
      </c>
      <c r="J53" s="81">
        <f>ROUND(J51/I52,0)</f>
        <v>0</v>
      </c>
      <c r="K53" s="81">
        <f>ROUND(K51/I52,0)</f>
        <v>137</v>
      </c>
      <c r="L53" s="81">
        <f>ROUND(L51/I52,0)</f>
        <v>295</v>
      </c>
      <c r="M53" s="148">
        <f>ROUND(M51/I52,0)</f>
        <v>280</v>
      </c>
    </row>
    <row r="54" spans="1:13" ht="15.75" thickBot="1" x14ac:dyDescent="0.3"/>
    <row r="55" spans="1:13" ht="15.75" thickBot="1" x14ac:dyDescent="0.3">
      <c r="A55" s="372" t="s">
        <v>168</v>
      </c>
      <c r="B55" s="373"/>
      <c r="C55" s="373"/>
      <c r="D55" s="373"/>
      <c r="E55" s="373"/>
      <c r="F55" s="373"/>
      <c r="G55" s="373"/>
      <c r="H55" s="373"/>
      <c r="I55" s="373"/>
      <c r="J55" s="373"/>
      <c r="K55" s="373"/>
      <c r="L55" s="373"/>
      <c r="M55" s="374"/>
    </row>
    <row r="56" spans="1:13" x14ac:dyDescent="0.25">
      <c r="A56" s="369" t="s">
        <v>32</v>
      </c>
      <c r="B56" s="138" t="s">
        <v>33</v>
      </c>
      <c r="C56" s="308">
        <f>'Fiche de coûts'!C56+'Fiche de coûts part1'!C56+'Fiche de coûts part2'!C56</f>
        <v>0</v>
      </c>
      <c r="D56" s="308">
        <f>'Fiche de coûts'!D56+'Fiche de coûts part1'!D56+'Fiche de coûts part2'!D56</f>
        <v>0</v>
      </c>
      <c r="E56" s="140">
        <f>C56*C108+C109*D56</f>
        <v>0</v>
      </c>
      <c r="F56" s="141"/>
      <c r="G56" s="141"/>
      <c r="H56" s="142"/>
      <c r="I56" s="140">
        <f>'Fiche de coûts'!I56+'Fiche de coûts part1'!I56+'Fiche de coûts part2'!I56</f>
        <v>0</v>
      </c>
      <c r="J56" s="140">
        <f>'Fiche de coûts'!J56+'Fiche de coûts part1'!J56+'Fiche de coûts part2'!J56</f>
        <v>0</v>
      </c>
      <c r="K56" s="140">
        <f>SUM(E56:J56)-F56-G56</f>
        <v>0</v>
      </c>
      <c r="L56" s="150">
        <f>E56*(1+C110)+I56+J56*(1+C112)</f>
        <v>0</v>
      </c>
      <c r="M56" s="159">
        <f>E56*(1+C119)+I56+J56</f>
        <v>0</v>
      </c>
    </row>
    <row r="57" spans="1:13" x14ac:dyDescent="0.25">
      <c r="A57" s="369"/>
      <c r="B57" s="5" t="s">
        <v>34</v>
      </c>
      <c r="C57" s="304">
        <f>'Fiche de coûts'!C57+'Fiche de coûts part1'!C57+'Fiche de coûts part2'!C57</f>
        <v>0</v>
      </c>
      <c r="D57" s="304">
        <f>'Fiche de coûts'!D57+'Fiche de coûts part1'!D57+'Fiche de coûts part2'!D57</f>
        <v>0</v>
      </c>
      <c r="E57" s="15">
        <f>C57*C108+C109*D57</f>
        <v>0</v>
      </c>
      <c r="F57" s="86"/>
      <c r="G57" s="86"/>
      <c r="H57" s="87"/>
      <c r="I57" s="15">
        <f>'Fiche de coûts'!I57+'Fiche de coûts part1'!I57+'Fiche de coûts part2'!I57</f>
        <v>0</v>
      </c>
      <c r="J57" s="15">
        <f>'Fiche de coûts'!J57+'Fiche de coûts part1'!J57+'Fiche de coûts part2'!J57</f>
        <v>0</v>
      </c>
      <c r="K57" s="15">
        <f t="shared" ref="K57:K96" si="4">SUM(E57:J57)-F57-G57</f>
        <v>0</v>
      </c>
      <c r="L57" s="77">
        <f>E57*(1+C110)+I57+J57*(1+C112)</f>
        <v>0</v>
      </c>
      <c r="M57" s="156">
        <f>E57*(1+C119)+I57+J57</f>
        <v>0</v>
      </c>
    </row>
    <row r="58" spans="1:13" x14ac:dyDescent="0.25">
      <c r="A58" s="369"/>
      <c r="B58" s="5" t="s">
        <v>35</v>
      </c>
      <c r="C58" s="304">
        <f>'Fiche de coûts'!C58+'Fiche de coûts part1'!C58+'Fiche de coûts part2'!C58</f>
        <v>0</v>
      </c>
      <c r="D58" s="304">
        <f>'Fiche de coûts'!D58+'Fiche de coûts part1'!D58+'Fiche de coûts part2'!D58</f>
        <v>0</v>
      </c>
      <c r="E58" s="15">
        <f>C58*C108+C109*D58</f>
        <v>0</v>
      </c>
      <c r="F58" s="86"/>
      <c r="G58" s="86"/>
      <c r="H58" s="87"/>
      <c r="I58" s="15">
        <f>'Fiche de coûts'!I58+'Fiche de coûts part1'!I58+'Fiche de coûts part2'!I58</f>
        <v>0</v>
      </c>
      <c r="J58" s="15">
        <f>'Fiche de coûts'!J58+'Fiche de coûts part1'!J58+'Fiche de coûts part2'!J58</f>
        <v>0</v>
      </c>
      <c r="K58" s="15">
        <f t="shared" si="4"/>
        <v>0</v>
      </c>
      <c r="L58" s="77">
        <f>E58*(1+C110)+I58+J58*(1+C112)</f>
        <v>0</v>
      </c>
      <c r="M58" s="156">
        <f>E58*(1+C119)+I58+J58</f>
        <v>0</v>
      </c>
    </row>
    <row r="59" spans="1:13" x14ac:dyDescent="0.25">
      <c r="A59" s="369"/>
      <c r="B59" s="5" t="s">
        <v>36</v>
      </c>
      <c r="C59" s="304">
        <f>'Fiche de coûts'!C59+'Fiche de coûts part1'!C59+'Fiche de coûts part2'!C59</f>
        <v>0</v>
      </c>
      <c r="D59" s="304">
        <f>'Fiche de coûts'!D59+'Fiche de coûts part1'!D59+'Fiche de coûts part2'!D59</f>
        <v>0</v>
      </c>
      <c r="E59" s="15">
        <f>C59*C108+C109*D59</f>
        <v>0</v>
      </c>
      <c r="F59" s="86"/>
      <c r="G59" s="86"/>
      <c r="H59" s="87"/>
      <c r="I59" s="15">
        <f>'Fiche de coûts'!I59+'Fiche de coûts part1'!I59+'Fiche de coûts part2'!I59</f>
        <v>0</v>
      </c>
      <c r="J59" s="15">
        <f>'Fiche de coûts'!J59+'Fiche de coûts part1'!J59+'Fiche de coûts part2'!J59</f>
        <v>0</v>
      </c>
      <c r="K59" s="15">
        <f t="shared" si="4"/>
        <v>0</v>
      </c>
      <c r="L59" s="77">
        <f>E59*(1+C110)+I59+J59*(1+C112)</f>
        <v>0</v>
      </c>
      <c r="M59" s="156">
        <f>E59*(1+C119)+I59+J59</f>
        <v>0</v>
      </c>
    </row>
    <row r="60" spans="1:13" x14ac:dyDescent="0.25">
      <c r="A60" s="369"/>
      <c r="B60" s="5" t="s">
        <v>37</v>
      </c>
      <c r="C60" s="304">
        <f>'Fiche de coûts'!C60+'Fiche de coûts part1'!C60+'Fiche de coûts part2'!C60</f>
        <v>0</v>
      </c>
      <c r="D60" s="304">
        <f>'Fiche de coûts'!D60+'Fiche de coûts part1'!D60+'Fiche de coûts part2'!D60</f>
        <v>0</v>
      </c>
      <c r="E60" s="15">
        <f>C60*C108+C109*D60</f>
        <v>0</v>
      </c>
      <c r="F60" s="86"/>
      <c r="G60" s="86"/>
      <c r="H60" s="87"/>
      <c r="I60" s="15">
        <f>'Fiche de coûts'!I60+'Fiche de coûts part1'!I60+'Fiche de coûts part2'!I60</f>
        <v>0</v>
      </c>
      <c r="J60" s="15">
        <f>'Fiche de coûts'!J60+'Fiche de coûts part1'!J60+'Fiche de coûts part2'!J60</f>
        <v>0</v>
      </c>
      <c r="K60" s="15">
        <f t="shared" si="4"/>
        <v>0</v>
      </c>
      <c r="L60" s="77">
        <f>E60*(1+C110)+I60+J60*(1+C112)</f>
        <v>0</v>
      </c>
      <c r="M60" s="156">
        <f>E60*(1+C119)+I60+J60</f>
        <v>0</v>
      </c>
    </row>
    <row r="61" spans="1:13" x14ac:dyDescent="0.25">
      <c r="A61" s="367"/>
      <c r="B61" s="6" t="s">
        <v>38</v>
      </c>
      <c r="C61" s="304">
        <f>'Fiche de coûts'!C61+'Fiche de coûts part1'!C61+'Fiche de coûts part2'!C61</f>
        <v>0</v>
      </c>
      <c r="D61" s="304">
        <f>'Fiche de coûts'!D61+'Fiche de coûts part1'!D61+'Fiche de coûts part2'!D61</f>
        <v>0</v>
      </c>
      <c r="E61" s="15">
        <f>C61*C108+C109*D61</f>
        <v>0</v>
      </c>
      <c r="F61" s="86"/>
      <c r="G61" s="86"/>
      <c r="H61" s="87"/>
      <c r="I61" s="15">
        <f>'Fiche de coûts'!I61+'Fiche de coûts part1'!I61+'Fiche de coûts part2'!I61</f>
        <v>0</v>
      </c>
      <c r="J61" s="15">
        <f>'Fiche de coûts'!J61+'Fiche de coûts part1'!J61+'Fiche de coûts part2'!J61</f>
        <v>0</v>
      </c>
      <c r="K61" s="15">
        <f>SUM(E61:J61)-F61-G61</f>
        <v>0</v>
      </c>
      <c r="L61" s="77">
        <f>E61*(1+C110)+I61+J61*(1+C112)</f>
        <v>0</v>
      </c>
      <c r="M61" s="156">
        <f>E61*(1+C119)+I61+J61</f>
        <v>0</v>
      </c>
    </row>
    <row r="62" spans="1:13" x14ac:dyDescent="0.25">
      <c r="A62" s="375" t="s">
        <v>201</v>
      </c>
      <c r="B62" s="186" t="s">
        <v>380</v>
      </c>
      <c r="C62" s="304">
        <f>'Fiche de coûts'!C62+'Fiche de coûts part1'!C62+'Fiche de coûts part2'!C62</f>
        <v>0</v>
      </c>
      <c r="D62" s="304">
        <f>'Fiche de coûts'!D62+'Fiche de coûts part1'!D62+'Fiche de coûts part2'!D62</f>
        <v>0</v>
      </c>
      <c r="E62" s="15">
        <f>C62*C108+C109*D62</f>
        <v>0</v>
      </c>
      <c r="F62" s="86"/>
      <c r="G62" s="86"/>
      <c r="H62" s="87"/>
      <c r="I62" s="15">
        <f>'Fiche de coûts'!I62+'Fiche de coûts part1'!I62+'Fiche de coûts part2'!I62</f>
        <v>0</v>
      </c>
      <c r="J62" s="15">
        <f>'Fiche de coûts'!J62+'Fiche de coûts part1'!J62+'Fiche de coûts part2'!J62</f>
        <v>0</v>
      </c>
      <c r="K62" s="15">
        <f t="shared" ref="K62:K66" si="5">SUM(E62:J62)-F62-G62</f>
        <v>0</v>
      </c>
      <c r="L62" s="77">
        <f>E62*(1+C110)+I62+J62*(1+C112)</f>
        <v>0</v>
      </c>
      <c r="M62" s="156">
        <f>E62*(1+C119)+I62+J62</f>
        <v>0</v>
      </c>
    </row>
    <row r="63" spans="1:13" x14ac:dyDescent="0.25">
      <c r="A63" s="376"/>
      <c r="B63" s="186" t="s">
        <v>380</v>
      </c>
      <c r="C63" s="304">
        <f>'Fiche de coûts'!C63+'Fiche de coûts part1'!C63+'Fiche de coûts part2'!C63</f>
        <v>0</v>
      </c>
      <c r="D63" s="304">
        <f>'Fiche de coûts'!D63+'Fiche de coûts part1'!D63+'Fiche de coûts part2'!D63</f>
        <v>0</v>
      </c>
      <c r="E63" s="15">
        <f>C63*C108+C109*D63</f>
        <v>0</v>
      </c>
      <c r="F63" s="86"/>
      <c r="G63" s="86"/>
      <c r="H63" s="87"/>
      <c r="I63" s="15">
        <f>'Fiche de coûts'!I63+'Fiche de coûts part1'!I63+'Fiche de coûts part2'!I63</f>
        <v>0</v>
      </c>
      <c r="J63" s="15">
        <f>'Fiche de coûts'!J63+'Fiche de coûts part1'!J63+'Fiche de coûts part2'!J63</f>
        <v>0</v>
      </c>
      <c r="K63" s="15">
        <f t="shared" si="5"/>
        <v>0</v>
      </c>
      <c r="L63" s="77">
        <f>E63*(1+C110)+I63+J63*(1+C112)</f>
        <v>0</v>
      </c>
      <c r="M63" s="156">
        <f>E63*(1+C119)+I63+J63</f>
        <v>0</v>
      </c>
    </row>
    <row r="64" spans="1:13" x14ac:dyDescent="0.25">
      <c r="A64" s="376"/>
      <c r="B64" s="186" t="s">
        <v>380</v>
      </c>
      <c r="C64" s="304">
        <f>'Fiche de coûts'!C64+'Fiche de coûts part1'!C64+'Fiche de coûts part2'!C64</f>
        <v>0</v>
      </c>
      <c r="D64" s="304">
        <f>'Fiche de coûts'!D64+'Fiche de coûts part1'!D64+'Fiche de coûts part2'!D64</f>
        <v>0</v>
      </c>
      <c r="E64" s="15">
        <f>C64*C108+C109*D64</f>
        <v>0</v>
      </c>
      <c r="F64" s="86"/>
      <c r="G64" s="86"/>
      <c r="H64" s="87"/>
      <c r="I64" s="15">
        <f>'Fiche de coûts'!I64+'Fiche de coûts part1'!I64+'Fiche de coûts part2'!I64</f>
        <v>0</v>
      </c>
      <c r="J64" s="15">
        <f>'Fiche de coûts'!J64+'Fiche de coûts part1'!J64+'Fiche de coûts part2'!J64</f>
        <v>0</v>
      </c>
      <c r="K64" s="15">
        <f t="shared" si="5"/>
        <v>0</v>
      </c>
      <c r="L64" s="77">
        <f>E64*(1+C110)+I64+J64*(1+C112)</f>
        <v>0</v>
      </c>
      <c r="M64" s="156">
        <f>E64*(1+C119)+I64+J64</f>
        <v>0</v>
      </c>
    </row>
    <row r="65" spans="1:13" x14ac:dyDescent="0.25">
      <c r="A65" s="376"/>
      <c r="B65" s="186" t="s">
        <v>380</v>
      </c>
      <c r="C65" s="304">
        <f>'Fiche de coûts'!C65+'Fiche de coûts part1'!C65+'Fiche de coûts part2'!C65</f>
        <v>0</v>
      </c>
      <c r="D65" s="304">
        <f>'Fiche de coûts'!D65+'Fiche de coûts part1'!D65+'Fiche de coûts part2'!D65</f>
        <v>0</v>
      </c>
      <c r="E65" s="15">
        <f>C65*C108+C109*D65</f>
        <v>0</v>
      </c>
      <c r="F65" s="86"/>
      <c r="G65" s="86"/>
      <c r="H65" s="87"/>
      <c r="I65" s="15">
        <f>'Fiche de coûts'!I65+'Fiche de coûts part1'!I65+'Fiche de coûts part2'!I65</f>
        <v>0</v>
      </c>
      <c r="J65" s="15">
        <f>'Fiche de coûts'!J65+'Fiche de coûts part1'!J65+'Fiche de coûts part2'!J65</f>
        <v>0</v>
      </c>
      <c r="K65" s="15">
        <f t="shared" si="5"/>
        <v>0</v>
      </c>
      <c r="L65" s="77">
        <f>E65*(1+C110)+I65+J65*(1+C112)</f>
        <v>0</v>
      </c>
      <c r="M65" s="156">
        <f>E65*(1+C119)+I65+J65</f>
        <v>0</v>
      </c>
    </row>
    <row r="66" spans="1:13" x14ac:dyDescent="0.25">
      <c r="A66" s="377"/>
      <c r="B66" s="186" t="s">
        <v>380</v>
      </c>
      <c r="C66" s="304">
        <f>'Fiche de coûts'!C66+'Fiche de coûts part1'!C66+'Fiche de coûts part2'!C66</f>
        <v>0</v>
      </c>
      <c r="D66" s="304">
        <f>'Fiche de coûts'!D66+'Fiche de coûts part1'!D66+'Fiche de coûts part2'!D66</f>
        <v>0</v>
      </c>
      <c r="E66" s="15">
        <f>C66*C108+C109*D66</f>
        <v>0</v>
      </c>
      <c r="F66" s="86"/>
      <c r="G66" s="86"/>
      <c r="H66" s="87"/>
      <c r="I66" s="15">
        <f>'Fiche de coûts'!I66+'Fiche de coûts part1'!I66+'Fiche de coûts part2'!I66</f>
        <v>0</v>
      </c>
      <c r="J66" s="15">
        <f>'Fiche de coûts'!J66+'Fiche de coûts part1'!J66+'Fiche de coûts part2'!J66</f>
        <v>0</v>
      </c>
      <c r="K66" s="15">
        <f t="shared" si="5"/>
        <v>0</v>
      </c>
      <c r="L66" s="77">
        <f>E66*(1+C110)+I66+J66*(1+C112)</f>
        <v>0</v>
      </c>
      <c r="M66" s="156">
        <f>E66*(1+C119)+I66+J66</f>
        <v>0</v>
      </c>
    </row>
    <row r="67" spans="1:13" x14ac:dyDescent="0.25">
      <c r="A67" s="366" t="s">
        <v>39</v>
      </c>
      <c r="B67" s="7" t="s">
        <v>40</v>
      </c>
      <c r="C67" s="304">
        <f>'Fiche de coûts'!C67+'Fiche de coûts part1'!C67+'Fiche de coûts part2'!C67</f>
        <v>0</v>
      </c>
      <c r="D67" s="304">
        <f>'Fiche de coûts'!D67+'Fiche de coûts part1'!D67+'Fiche de coûts part2'!D67</f>
        <v>0</v>
      </c>
      <c r="E67" s="15">
        <f>C67*C108+C109*D67</f>
        <v>0</v>
      </c>
      <c r="F67" s="15">
        <f>'Fiche de coûts'!F67+'Fiche de coûts part1'!F67+'Fiche de coûts part2'!F67</f>
        <v>7</v>
      </c>
      <c r="G67" s="15">
        <f>'Fiche de coûts'!G67+'Fiche de coûts part1'!G67+'Fiche de coûts part2'!G67</f>
        <v>0</v>
      </c>
      <c r="H67" s="15">
        <f>F67*C116+C113*G67</f>
        <v>433.37</v>
      </c>
      <c r="I67" s="15">
        <f>'Fiche de coûts'!I67+'Fiche de coûts part1'!I67+'Fiche de coûts part2'!I67</f>
        <v>0</v>
      </c>
      <c r="J67" s="15">
        <f>'Fiche de coûts'!J67+'Fiche de coûts part1'!J67+'Fiche de coûts part2'!J67</f>
        <v>0</v>
      </c>
      <c r="K67" s="15">
        <f t="shared" si="4"/>
        <v>433.37</v>
      </c>
      <c r="L67" s="77">
        <f>E67*(1+C110)+H67*(1+C111)+I67+J67*(1+C112)</f>
        <v>925.07160199999998</v>
      </c>
      <c r="M67" s="156">
        <f>E67*(1+C119)+H67*(1+C119)+I67+J67</f>
        <v>884.768192</v>
      </c>
    </row>
    <row r="68" spans="1:13" x14ac:dyDescent="0.25">
      <c r="A68" s="369"/>
      <c r="B68" s="7" t="s">
        <v>41</v>
      </c>
      <c r="C68" s="304">
        <f>'Fiche de coûts'!C68+'Fiche de coûts part1'!C68+'Fiche de coûts part2'!C68</f>
        <v>0</v>
      </c>
      <c r="D68" s="304">
        <f>'Fiche de coûts'!D68+'Fiche de coûts part1'!D68+'Fiche de coûts part2'!D68</f>
        <v>0</v>
      </c>
      <c r="E68" s="15">
        <f>C68*C108+C109*D68</f>
        <v>0</v>
      </c>
      <c r="F68" s="15">
        <f>'Fiche de coûts'!F68+'Fiche de coûts part1'!F68+'Fiche de coûts part2'!F68</f>
        <v>0</v>
      </c>
      <c r="G68" s="15">
        <f>'Fiche de coûts'!G68+'Fiche de coûts part1'!G68+'Fiche de coûts part2'!G68</f>
        <v>0</v>
      </c>
      <c r="H68" s="15">
        <f>F68*C117+C114*G68</f>
        <v>0</v>
      </c>
      <c r="I68" s="15">
        <f>'Fiche de coûts'!I68+'Fiche de coûts part1'!I68+'Fiche de coûts part2'!I68</f>
        <v>0</v>
      </c>
      <c r="J68" s="15">
        <f>'Fiche de coûts'!J68+'Fiche de coûts part1'!J68+'Fiche de coûts part2'!J68</f>
        <v>0</v>
      </c>
      <c r="K68" s="15">
        <f t="shared" si="4"/>
        <v>0</v>
      </c>
      <c r="L68" s="77">
        <f>E68*(1+C110)+H68*(1+C111)+I68+J68*(1+C112)</f>
        <v>0</v>
      </c>
      <c r="M68" s="156">
        <f>E68*(1+C119)+H68*(1+C119)+I68+J68</f>
        <v>0</v>
      </c>
    </row>
    <row r="69" spans="1:13" x14ac:dyDescent="0.25">
      <c r="A69" s="369"/>
      <c r="B69" s="7" t="s">
        <v>42</v>
      </c>
      <c r="C69" s="304">
        <f>'Fiche de coûts'!C69+'Fiche de coûts part1'!C69+'Fiche de coûts part2'!C69</f>
        <v>0</v>
      </c>
      <c r="D69" s="304">
        <f>'Fiche de coûts'!D69+'Fiche de coûts part1'!D69+'Fiche de coûts part2'!D69</f>
        <v>0</v>
      </c>
      <c r="E69" s="15">
        <f>C69*C108+C109*D69</f>
        <v>0</v>
      </c>
      <c r="F69" s="15">
        <f>'Fiche de coûts'!F69+'Fiche de coûts part1'!F69+'Fiche de coûts part2'!F69</f>
        <v>14</v>
      </c>
      <c r="G69" s="15">
        <f>'Fiche de coûts'!G69+'Fiche de coûts part1'!G69+'Fiche de coûts part2'!G69</f>
        <v>0</v>
      </c>
      <c r="H69" s="15">
        <f>F69*C118+C115*G69</f>
        <v>443.94</v>
      </c>
      <c r="I69" s="15">
        <f>'Fiche de coûts'!I69+'Fiche de coûts part1'!I69+'Fiche de coûts part2'!I69</f>
        <v>0</v>
      </c>
      <c r="J69" s="15">
        <f>'Fiche de coûts'!J69+'Fiche de coûts part1'!J69+'Fiche de coûts part2'!J69</f>
        <v>0</v>
      </c>
      <c r="K69" s="15">
        <f t="shared" si="4"/>
        <v>443.94</v>
      </c>
      <c r="L69" s="77">
        <f>E69*(1+C110)+H69*(1+C111)+I69+J69*(1+C112)</f>
        <v>947.63432399999988</v>
      </c>
      <c r="M69" s="156">
        <f>E69*(1+C119)+H69*(1+C119)+I69+J69</f>
        <v>906.34790399999997</v>
      </c>
    </row>
    <row r="70" spans="1:13" ht="15.75" thickBot="1" x14ac:dyDescent="0.3">
      <c r="A70" s="369"/>
      <c r="B70" s="170" t="s">
        <v>43</v>
      </c>
      <c r="C70" s="304">
        <f>'Fiche de coûts'!C70+'Fiche de coûts part1'!C70+'Fiche de coûts part2'!C70</f>
        <v>0</v>
      </c>
      <c r="D70" s="304">
        <f>'Fiche de coûts'!D70+'Fiche de coûts part1'!D70+'Fiche de coûts part2'!D70</f>
        <v>0</v>
      </c>
      <c r="E70" s="15">
        <f>C70*C108+C109*D70</f>
        <v>0</v>
      </c>
      <c r="F70" s="87"/>
      <c r="G70" s="87"/>
      <c r="H70" s="92"/>
      <c r="I70" s="15">
        <f>'Fiche de coûts'!I70+'Fiche de coûts part1'!I70+'Fiche de coûts part2'!I70</f>
        <v>0</v>
      </c>
      <c r="J70" s="77">
        <f>'Fiche de coûts'!J70+'Fiche de coûts part1'!J70+'Fiche de coûts part2'!J70</f>
        <v>0</v>
      </c>
      <c r="K70" s="15">
        <f t="shared" si="4"/>
        <v>0</v>
      </c>
      <c r="L70" s="77">
        <f>E70*(1+C110)+I70+J70*(1+C112)</f>
        <v>0</v>
      </c>
      <c r="M70" s="156">
        <f>E70*(1+C119)+I70+J70</f>
        <v>0</v>
      </c>
    </row>
    <row r="71" spans="1:13" ht="16.5" thickTop="1" thickBot="1" x14ac:dyDescent="0.3">
      <c r="A71" s="389"/>
      <c r="B71" s="171" t="s">
        <v>193</v>
      </c>
      <c r="C71" s="169"/>
      <c r="D71" s="86"/>
      <c r="E71" s="87"/>
      <c r="F71" s="87"/>
      <c r="G71" s="87"/>
      <c r="H71" s="92"/>
      <c r="I71" s="300">
        <f>'Fiche de coûts'!I71+'Fiche de coûts part1'!I71+'Fiche de coûts part2'!I71</f>
        <v>0</v>
      </c>
      <c r="J71" s="301">
        <f>'Fiche de coûts'!J71+'Fiche de coûts part1'!J71+'Fiche de coûts part2'!J71</f>
        <v>0</v>
      </c>
      <c r="K71" s="167">
        <f t="shared" si="4"/>
        <v>0</v>
      </c>
      <c r="L71" s="77">
        <f>E71*(1+C110)+I71+J71*(1+C112)</f>
        <v>0</v>
      </c>
      <c r="M71" s="156">
        <f>E71*(1+C119)+I71+J71</f>
        <v>0</v>
      </c>
    </row>
    <row r="72" spans="1:13" ht="15.75" thickTop="1" x14ac:dyDescent="0.25">
      <c r="A72" s="366" t="s">
        <v>55</v>
      </c>
      <c r="B72" s="138" t="s">
        <v>56</v>
      </c>
      <c r="C72" s="304">
        <f>'Fiche de coûts'!C72+'Fiche de coûts part1'!C72+'Fiche de coûts part2'!C72</f>
        <v>0</v>
      </c>
      <c r="D72" s="304">
        <f>'Fiche de coûts'!D72+'Fiche de coûts part1'!D72+'Fiche de coûts part2'!D72</f>
        <v>0</v>
      </c>
      <c r="E72" s="15">
        <f>C72*C108+C109*D72</f>
        <v>0</v>
      </c>
      <c r="F72" s="87"/>
      <c r="G72" s="87"/>
      <c r="H72" s="92"/>
      <c r="I72" s="15">
        <f>'Fiche de coûts'!I72+'Fiche de coûts part1'!I72+'Fiche de coûts part2'!I72</f>
        <v>0</v>
      </c>
      <c r="J72" s="140">
        <f>'Fiche de coûts'!J72+'Fiche de coûts part1'!J72+'Fiche de coûts part2'!J72</f>
        <v>0</v>
      </c>
      <c r="K72" s="15">
        <f t="shared" si="4"/>
        <v>0</v>
      </c>
      <c r="L72" s="77">
        <f>E72*(1+C110)+I72+J72*(1+C112)</f>
        <v>0</v>
      </c>
      <c r="M72" s="156">
        <f>E72*(1+C119)+I72+J72</f>
        <v>0</v>
      </c>
    </row>
    <row r="73" spans="1:13" x14ac:dyDescent="0.25">
      <c r="A73" s="367"/>
      <c r="B73" s="5" t="s">
        <v>57</v>
      </c>
      <c r="C73" s="304">
        <f>'Fiche de coûts'!C73+'Fiche de coûts part1'!C73+'Fiche de coûts part2'!C73</f>
        <v>0</v>
      </c>
      <c r="D73" s="304">
        <f>'Fiche de coûts'!D73+'Fiche de coûts part1'!D73+'Fiche de coûts part2'!D73</f>
        <v>0</v>
      </c>
      <c r="E73" s="15">
        <f>C73*C108+C109*D73</f>
        <v>0</v>
      </c>
      <c r="F73" s="87"/>
      <c r="G73" s="87"/>
      <c r="H73" s="92"/>
      <c r="I73" s="15">
        <f>'Fiche de coûts'!I73+'Fiche de coûts part1'!I73+'Fiche de coûts part2'!I73</f>
        <v>0</v>
      </c>
      <c r="J73" s="15">
        <f>'Fiche de coûts'!J73+'Fiche de coûts part1'!J73+'Fiche de coûts part2'!J73</f>
        <v>0</v>
      </c>
      <c r="K73" s="15">
        <f t="shared" si="4"/>
        <v>0</v>
      </c>
      <c r="L73" s="77">
        <f>E73*(1+C110)+I73+J73*(1+C112)</f>
        <v>0</v>
      </c>
      <c r="M73" s="156">
        <f>E73*(1+C119)+I73+J73</f>
        <v>0</v>
      </c>
    </row>
    <row r="74" spans="1:13" x14ac:dyDescent="0.25">
      <c r="A74" s="366" t="s">
        <v>58</v>
      </c>
      <c r="B74" s="5" t="s">
        <v>60</v>
      </c>
      <c r="C74" s="304">
        <f>'Fiche de coûts'!C74+'Fiche de coûts part1'!C74+'Fiche de coûts part2'!C74</f>
        <v>2</v>
      </c>
      <c r="D74" s="304">
        <f>'Fiche de coûts'!D74+'Fiche de coûts part1'!D74+'Fiche de coûts part2'!D74</f>
        <v>5</v>
      </c>
      <c r="E74" s="15">
        <f>C74*C108+C109*D74</f>
        <v>319.14</v>
      </c>
      <c r="F74" s="87"/>
      <c r="G74" s="87"/>
      <c r="H74" s="92"/>
      <c r="I74" s="15">
        <f>'Fiche de coûts'!I74+'Fiche de coûts part1'!I74+'Fiche de coûts part2'!I74</f>
        <v>0</v>
      </c>
      <c r="J74" s="15">
        <f>'Fiche de coûts'!J74+'Fiche de coûts part1'!J74+'Fiche de coûts part2'!J74</f>
        <v>0</v>
      </c>
      <c r="K74" s="15">
        <f t="shared" si="4"/>
        <v>319.14</v>
      </c>
      <c r="L74" s="77">
        <f>E74*(1+C110)+I74+J74*(1+C112)</f>
        <v>687.07650599999988</v>
      </c>
      <c r="M74" s="156">
        <f>E74*(1+C119)+I74+J74</f>
        <v>651.55622399999993</v>
      </c>
    </row>
    <row r="75" spans="1:13" x14ac:dyDescent="0.25">
      <c r="A75" s="367"/>
      <c r="B75" s="5" t="s">
        <v>59</v>
      </c>
      <c r="C75" s="304">
        <f>'Fiche de coûts'!C75+'Fiche de coûts part1'!C75+'Fiche de coûts part2'!C75</f>
        <v>0</v>
      </c>
      <c r="D75" s="304">
        <f>'Fiche de coûts'!D75+'Fiche de coûts part1'!D75+'Fiche de coûts part2'!D75</f>
        <v>5</v>
      </c>
      <c r="E75" s="15">
        <f>C75*C108+C109*D75</f>
        <v>195.6</v>
      </c>
      <c r="F75" s="87"/>
      <c r="G75" s="87"/>
      <c r="H75" s="92"/>
      <c r="I75" s="15">
        <f>'Fiche de coûts'!I75+'Fiche de coûts part1'!I75+'Fiche de coûts part2'!I75</f>
        <v>0</v>
      </c>
      <c r="J75" s="15">
        <f>'Fiche de coûts'!J75+'Fiche de coûts part1'!J75+'Fiche de coûts part2'!J75</f>
        <v>0</v>
      </c>
      <c r="K75" s="15">
        <f t="shared" si="4"/>
        <v>195.6</v>
      </c>
      <c r="L75" s="77">
        <f>E75*(1+C110)+I75+J75*(1+C112)</f>
        <v>421.10723999999993</v>
      </c>
      <c r="M75" s="156">
        <f>E75*(1+C119)+I75+J75</f>
        <v>399.33695999999998</v>
      </c>
    </row>
    <row r="76" spans="1:13" ht="30" x14ac:dyDescent="0.25">
      <c r="A76" s="274" t="s">
        <v>133</v>
      </c>
      <c r="B76" s="7" t="s">
        <v>134</v>
      </c>
      <c r="C76" s="86"/>
      <c r="D76" s="86"/>
      <c r="E76" s="87"/>
      <c r="F76" s="87"/>
      <c r="G76" s="87"/>
      <c r="H76" s="92"/>
      <c r="I76" s="15">
        <f>'Fiche de coûts'!I76+'Fiche de coûts part1'!I76+'Fiche de coûts part2'!I76</f>
        <v>0</v>
      </c>
      <c r="J76" s="15">
        <f>'Fiche de coûts'!J76+'Fiche de coûts part1'!J76+'Fiche de coûts part2'!J76</f>
        <v>0</v>
      </c>
      <c r="K76" s="15">
        <f t="shared" si="4"/>
        <v>0</v>
      </c>
      <c r="L76" s="77">
        <f>E76*(1+C110)+I76+J76*(1+C112)</f>
        <v>0</v>
      </c>
      <c r="M76" s="156">
        <f>E76*(1+C119)+I76+J76</f>
        <v>0</v>
      </c>
    </row>
    <row r="77" spans="1:13" x14ac:dyDescent="0.25">
      <c r="A77" s="276"/>
      <c r="B77" s="5" t="s">
        <v>67</v>
      </c>
      <c r="C77" s="86"/>
      <c r="D77" s="86"/>
      <c r="E77" s="87"/>
      <c r="F77" s="87"/>
      <c r="G77" s="87"/>
      <c r="H77" s="92"/>
      <c r="I77" s="15">
        <f>'Fiche de coûts'!I77+'Fiche de coûts part1'!I77+'Fiche de coûts part2'!I77</f>
        <v>0</v>
      </c>
      <c r="J77" s="15">
        <f>'Fiche de coûts'!J77+'Fiche de coûts part1'!J77+'Fiche de coûts part2'!J77</f>
        <v>0</v>
      </c>
      <c r="K77" s="15">
        <f t="shared" si="4"/>
        <v>0</v>
      </c>
      <c r="L77" s="77">
        <f>E77*(1+C110)+I77+J77*(1+C112)</f>
        <v>0</v>
      </c>
      <c r="M77" s="156">
        <f>E77*(1+C119)+I77+J77</f>
        <v>0</v>
      </c>
    </row>
    <row r="78" spans="1:13" ht="30" x14ac:dyDescent="0.25">
      <c r="A78" s="276"/>
      <c r="B78" s="7" t="s">
        <v>135</v>
      </c>
      <c r="C78" s="86"/>
      <c r="D78" s="86"/>
      <c r="E78" s="87"/>
      <c r="F78" s="87"/>
      <c r="G78" s="87"/>
      <c r="H78" s="92"/>
      <c r="I78" s="15">
        <f>'Fiche de coûts'!I78+'Fiche de coûts part1'!I78+'Fiche de coûts part2'!I78</f>
        <v>0</v>
      </c>
      <c r="J78" s="15">
        <f>'Fiche de coûts'!J78+'Fiche de coûts part1'!J78+'Fiche de coûts part2'!J78</f>
        <v>740</v>
      </c>
      <c r="K78" s="15">
        <f t="shared" si="4"/>
        <v>740</v>
      </c>
      <c r="L78" s="77">
        <f>E78*(1+C110)+I78+J78*(1+C112)</f>
        <v>765.16</v>
      </c>
      <c r="M78" s="156">
        <f>E78*(1+C119)+I78+J78</f>
        <v>740</v>
      </c>
    </row>
    <row r="79" spans="1:13" x14ac:dyDescent="0.25">
      <c r="A79" s="275"/>
      <c r="B79" s="5" t="s">
        <v>126</v>
      </c>
      <c r="C79" s="86"/>
      <c r="D79" s="86"/>
      <c r="E79" s="87"/>
      <c r="F79" s="87"/>
      <c r="G79" s="87"/>
      <c r="H79" s="92"/>
      <c r="I79" s="15">
        <f>'Fiche de coûts'!I79+'Fiche de coûts part1'!I79+'Fiche de coûts part2'!I79</f>
        <v>0</v>
      </c>
      <c r="J79" s="15">
        <f>'Fiche de coûts'!J79+'Fiche de coûts part1'!J79+'Fiche de coûts part2'!J79</f>
        <v>0</v>
      </c>
      <c r="K79" s="15">
        <f t="shared" si="4"/>
        <v>0</v>
      </c>
      <c r="L79" s="77">
        <f>E79*(1+C110)+I79+J79*(1+C112)</f>
        <v>0</v>
      </c>
      <c r="M79" s="156">
        <f>E79*(1+C119)+I79+J79</f>
        <v>0</v>
      </c>
    </row>
    <row r="80" spans="1:13" x14ac:dyDescent="0.25">
      <c r="A80" s="366" t="s">
        <v>142</v>
      </c>
      <c r="B80" s="5" t="s">
        <v>139</v>
      </c>
      <c r="C80" s="86"/>
      <c r="D80" s="86"/>
      <c r="E80" s="87"/>
      <c r="F80" s="87"/>
      <c r="G80" s="87"/>
      <c r="H80" s="92"/>
      <c r="I80" s="15">
        <f>'Fiche de coûts'!I80+'Fiche de coûts part1'!I80+'Fiche de coûts part2'!I80</f>
        <v>0</v>
      </c>
      <c r="J80" s="15">
        <f>'Fiche de coûts'!J80+'Fiche de coûts part1'!J80+'Fiche de coûts part2'!J80</f>
        <v>0</v>
      </c>
      <c r="K80" s="15">
        <f t="shared" si="4"/>
        <v>0</v>
      </c>
      <c r="L80" s="77">
        <f>E80*(1+C110)+I80+J80*(1+C112)</f>
        <v>0</v>
      </c>
      <c r="M80" s="156">
        <f>E80*(1+C119)+I80+J80</f>
        <v>0</v>
      </c>
    </row>
    <row r="81" spans="1:13" x14ac:dyDescent="0.25">
      <c r="A81" s="369"/>
      <c r="B81" s="5" t="s">
        <v>127</v>
      </c>
      <c r="C81" s="86"/>
      <c r="D81" s="86"/>
      <c r="E81" s="87"/>
      <c r="F81" s="87"/>
      <c r="G81" s="87"/>
      <c r="H81" s="92"/>
      <c r="I81" s="15">
        <f>'Fiche de coûts'!I81+'Fiche de coûts part1'!I81+'Fiche de coûts part2'!I81</f>
        <v>0</v>
      </c>
      <c r="J81" s="15">
        <f>'Fiche de coûts'!J81+'Fiche de coûts part1'!J81+'Fiche de coûts part2'!J81</f>
        <v>87.5</v>
      </c>
      <c r="K81" s="15">
        <f t="shared" si="4"/>
        <v>87.5</v>
      </c>
      <c r="L81" s="77">
        <f>E81*(1+C110)+I81+J81*(1+C112)</f>
        <v>90.475000000000009</v>
      </c>
      <c r="M81" s="156">
        <f>E81*(1+C119)+I81+J81</f>
        <v>87.5</v>
      </c>
    </row>
    <row r="82" spans="1:13" x14ac:dyDescent="0.25">
      <c r="A82" s="369"/>
      <c r="B82" s="5" t="s">
        <v>136</v>
      </c>
      <c r="C82" s="86"/>
      <c r="D82" s="86"/>
      <c r="E82" s="87"/>
      <c r="F82" s="87"/>
      <c r="G82" s="87"/>
      <c r="H82" s="92"/>
      <c r="I82" s="15">
        <f>'Fiche de coûts'!I82+'Fiche de coûts part1'!I82+'Fiche de coûts part2'!I82</f>
        <v>0</v>
      </c>
      <c r="J82" s="15">
        <f>'Fiche de coûts'!J82+'Fiche de coûts part1'!J82+'Fiche de coûts part2'!J82</f>
        <v>0</v>
      </c>
      <c r="K82" s="15">
        <f t="shared" si="4"/>
        <v>0</v>
      </c>
      <c r="L82" s="77">
        <f>E82*(1+C110)+I82+J82*(1+C112)</f>
        <v>0</v>
      </c>
      <c r="M82" s="156">
        <f>E82*(1+C119)+I82+J82</f>
        <v>0</v>
      </c>
    </row>
    <row r="83" spans="1:13" x14ac:dyDescent="0.25">
      <c r="A83" s="369"/>
      <c r="B83" s="6" t="s">
        <v>141</v>
      </c>
      <c r="C83" s="86"/>
      <c r="D83" s="86"/>
      <c r="E83" s="87"/>
      <c r="F83" s="87"/>
      <c r="G83" s="87"/>
      <c r="H83" s="92"/>
      <c r="I83" s="15">
        <f>'Fiche de coûts'!I83+'Fiche de coûts part1'!I83+'Fiche de coûts part2'!I83</f>
        <v>0</v>
      </c>
      <c r="J83" s="15">
        <f>'Fiche de coûts'!J83+'Fiche de coûts part1'!J83+'Fiche de coûts part2'!J83</f>
        <v>0</v>
      </c>
      <c r="K83" s="15">
        <f t="shared" si="4"/>
        <v>0</v>
      </c>
      <c r="L83" s="77">
        <f>E83*(1+C110)+I83+J83*(1+C112)</f>
        <v>0</v>
      </c>
      <c r="M83" s="156">
        <f>E83*(1+C119)+I83+J83</f>
        <v>0</v>
      </c>
    </row>
    <row r="84" spans="1:13" x14ac:dyDescent="0.25">
      <c r="A84" s="369"/>
      <c r="B84" s="6" t="s">
        <v>140</v>
      </c>
      <c r="C84" s="86"/>
      <c r="D84" s="86"/>
      <c r="E84" s="87"/>
      <c r="F84" s="87"/>
      <c r="G84" s="87"/>
      <c r="H84" s="92"/>
      <c r="I84" s="15">
        <f>'Fiche de coûts'!I84+'Fiche de coûts part1'!I84+'Fiche de coûts part2'!I84</f>
        <v>0</v>
      </c>
      <c r="J84" s="130">
        <f>'Fiche de coûts'!J84+'Fiche de coûts part1'!J84+'Fiche de coûts part2'!J84</f>
        <v>337.5</v>
      </c>
      <c r="K84" s="15">
        <f t="shared" si="4"/>
        <v>337.5</v>
      </c>
      <c r="L84" s="77">
        <f>E84*(1+C110)+I84+J84*(1+C112)</f>
        <v>348.97500000000002</v>
      </c>
      <c r="M84" s="156">
        <f>E84*(1+C119)+I84+J84</f>
        <v>337.5</v>
      </c>
    </row>
    <row r="85" spans="1:13" x14ac:dyDescent="0.25">
      <c r="A85" s="369"/>
      <c r="B85" s="186" t="s">
        <v>380</v>
      </c>
      <c r="C85" s="86"/>
      <c r="D85" s="86"/>
      <c r="E85" s="87"/>
      <c r="F85" s="87"/>
      <c r="G85" s="87"/>
      <c r="H85" s="92"/>
      <c r="I85" s="15">
        <f>'Fiche de coûts'!I85+'Fiche de coûts part1'!I85+'Fiche de coûts part2'!I85</f>
        <v>0</v>
      </c>
      <c r="J85" s="130">
        <f>'Fiche de coûts'!J85+'Fiche de coûts part1'!J85+'Fiche de coûts part2'!J85</f>
        <v>3500</v>
      </c>
      <c r="K85" s="15">
        <f t="shared" si="4"/>
        <v>3500</v>
      </c>
      <c r="L85" s="77">
        <f>E85*(1+C110)+I85+J85*(1+C112)</f>
        <v>3619</v>
      </c>
      <c r="M85" s="156">
        <f>E85*(1+C119)+I85+J85</f>
        <v>3500</v>
      </c>
    </row>
    <row r="86" spans="1:13" x14ac:dyDescent="0.25">
      <c r="A86" s="369"/>
      <c r="B86" s="186" t="s">
        <v>380</v>
      </c>
      <c r="C86" s="86"/>
      <c r="D86" s="86"/>
      <c r="E86" s="87"/>
      <c r="F86" s="87"/>
      <c r="G86" s="87"/>
      <c r="H86" s="92"/>
      <c r="I86" s="15">
        <f>'Fiche de coûts'!I86+'Fiche de coûts part1'!I86+'Fiche de coûts part2'!I86</f>
        <v>0</v>
      </c>
      <c r="J86" s="130">
        <f>'Fiche de coûts'!J86+'Fiche de coûts part1'!J86+'Fiche de coûts part2'!J86</f>
        <v>0</v>
      </c>
      <c r="K86" s="15">
        <f t="shared" si="4"/>
        <v>0</v>
      </c>
      <c r="L86" s="77">
        <f>E86*(1+C110)+I86+J86*(1+C112)</f>
        <v>0</v>
      </c>
      <c r="M86" s="156">
        <f>E86*(1+C119)+I86+J86</f>
        <v>0</v>
      </c>
    </row>
    <row r="87" spans="1:13" x14ac:dyDescent="0.25">
      <c r="A87" s="369"/>
      <c r="B87" s="186" t="s">
        <v>380</v>
      </c>
      <c r="C87" s="86"/>
      <c r="D87" s="86"/>
      <c r="E87" s="87"/>
      <c r="F87" s="87"/>
      <c r="G87" s="87"/>
      <c r="H87" s="92"/>
      <c r="I87" s="15">
        <f>'Fiche de coûts'!I87+'Fiche de coûts part1'!I87+'Fiche de coûts part2'!I87</f>
        <v>0</v>
      </c>
      <c r="J87" s="130">
        <f>'Fiche de coûts'!J87+'Fiche de coûts part1'!J87+'Fiche de coûts part2'!J87</f>
        <v>0</v>
      </c>
      <c r="K87" s="15">
        <f t="shared" si="4"/>
        <v>0</v>
      </c>
      <c r="L87" s="77">
        <f>E87*(1+C110)+I87+J87*(1+C112)</f>
        <v>0</v>
      </c>
      <c r="M87" s="156">
        <f>E87*(1+C119)+I87+J87</f>
        <v>0</v>
      </c>
    </row>
    <row r="88" spans="1:13" x14ac:dyDescent="0.25">
      <c r="A88" s="369"/>
      <c r="B88" s="186" t="s">
        <v>380</v>
      </c>
      <c r="C88" s="86"/>
      <c r="D88" s="86"/>
      <c r="E88" s="87"/>
      <c r="F88" s="87"/>
      <c r="G88" s="87"/>
      <c r="H88" s="92"/>
      <c r="I88" s="15">
        <f>'Fiche de coûts'!I88+'Fiche de coûts part1'!I88+'Fiche de coûts part2'!I88</f>
        <v>0</v>
      </c>
      <c r="J88" s="130">
        <f>'Fiche de coûts'!J88+'Fiche de coûts part1'!J88+'Fiche de coûts part2'!J88</f>
        <v>0</v>
      </c>
      <c r="K88" s="15">
        <f t="shared" si="4"/>
        <v>0</v>
      </c>
      <c r="L88" s="77">
        <f>E88*(1+C110)+I88+J88*(1+C112)</f>
        <v>0</v>
      </c>
      <c r="M88" s="156">
        <f>E88*(1+C119)+I88+J88</f>
        <v>0</v>
      </c>
    </row>
    <row r="89" spans="1:13" x14ac:dyDescent="0.25">
      <c r="A89" s="366" t="s">
        <v>164</v>
      </c>
      <c r="B89" s="5" t="s">
        <v>156</v>
      </c>
      <c r="C89" s="304">
        <f>'Fiche de coûts'!C89+'Fiche de coûts part1'!C89+'Fiche de coûts part2'!C89</f>
        <v>0</v>
      </c>
      <c r="D89" s="304">
        <f>'Fiche de coûts'!D89+'Fiche de coûts part1'!D89+'Fiche de coûts part2'!D89</f>
        <v>0</v>
      </c>
      <c r="E89" s="15">
        <f>C89*C108+C109*D89</f>
        <v>0</v>
      </c>
      <c r="F89" s="87"/>
      <c r="G89" s="87"/>
      <c r="H89" s="92"/>
      <c r="I89" s="15">
        <f>'Fiche de coûts'!I89+'Fiche de coûts part1'!I89+'Fiche de coûts part2'!I89</f>
        <v>0</v>
      </c>
      <c r="J89" s="15">
        <f>'Fiche de coûts'!J89+'Fiche de coûts part1'!J89+'Fiche de coûts part2'!J89</f>
        <v>0</v>
      </c>
      <c r="K89" s="15">
        <f t="shared" si="4"/>
        <v>0</v>
      </c>
      <c r="L89" s="77">
        <f>E89*(1+C110)+I89+J89*(1+C112)</f>
        <v>0</v>
      </c>
      <c r="M89" s="156">
        <f>E89*(1+C119)+I89+J89</f>
        <v>0</v>
      </c>
    </row>
    <row r="90" spans="1:13" x14ac:dyDescent="0.25">
      <c r="A90" s="369"/>
      <c r="B90" s="8" t="s">
        <v>163</v>
      </c>
      <c r="C90" s="304">
        <f>'Fiche de coûts'!C90+'Fiche de coûts part1'!C90+'Fiche de coûts part2'!C90</f>
        <v>0</v>
      </c>
      <c r="D90" s="304">
        <f>'Fiche de coûts'!D90+'Fiche de coûts part1'!D90+'Fiche de coûts part2'!D90</f>
        <v>0</v>
      </c>
      <c r="E90" s="15">
        <f>C90*C108+C109*D90</f>
        <v>0</v>
      </c>
      <c r="F90" s="87"/>
      <c r="G90" s="87"/>
      <c r="H90" s="92"/>
      <c r="I90" s="15">
        <f>'Fiche de coûts'!I90+'Fiche de coûts part1'!I90+'Fiche de coûts part2'!I90</f>
        <v>0</v>
      </c>
      <c r="J90" s="15">
        <f>'Fiche de coûts'!J90+'Fiche de coûts part1'!J90+'Fiche de coûts part2'!J90</f>
        <v>0</v>
      </c>
      <c r="K90" s="15">
        <f t="shared" si="4"/>
        <v>0</v>
      </c>
      <c r="L90" s="77">
        <f>E90*(1+C110)+I90+J90*(1+C112)</f>
        <v>0</v>
      </c>
      <c r="M90" s="156">
        <f>E90*(1+C119)+I90+J90</f>
        <v>0</v>
      </c>
    </row>
    <row r="91" spans="1:13" x14ac:dyDescent="0.25">
      <c r="A91" s="369"/>
      <c r="B91" s="8" t="s">
        <v>157</v>
      </c>
      <c r="C91" s="304">
        <f>'Fiche de coûts'!C91+'Fiche de coûts part1'!C91+'Fiche de coûts part2'!C91</f>
        <v>1</v>
      </c>
      <c r="D91" s="304">
        <f>'Fiche de coûts'!D91+'Fiche de coûts part1'!D91+'Fiche de coûts part2'!D91</f>
        <v>2</v>
      </c>
      <c r="E91" s="15">
        <f>C91*C108+C109*D91</f>
        <v>140.01</v>
      </c>
      <c r="F91" s="87"/>
      <c r="G91" s="87"/>
      <c r="H91" s="92"/>
      <c r="I91" s="15">
        <f>'Fiche de coûts'!I91+'Fiche de coûts part1'!I91+'Fiche de coûts part2'!I91</f>
        <v>0</v>
      </c>
      <c r="J91" s="15">
        <f>'Fiche de coûts'!J91+'Fiche de coûts part1'!J91+'Fiche de coûts part2'!J91</f>
        <v>0</v>
      </c>
      <c r="K91" s="15">
        <f t="shared" si="4"/>
        <v>140.01</v>
      </c>
      <c r="L91" s="77">
        <f>E91*(1+C110)+I91+J91*(1+C112)</f>
        <v>301.42752899999994</v>
      </c>
      <c r="M91" s="156">
        <f>E91*(1+C119)+I91+J91</f>
        <v>285.84441599999997</v>
      </c>
    </row>
    <row r="92" spans="1:13" x14ac:dyDescent="0.25">
      <c r="A92" s="369"/>
      <c r="B92" s="8" t="s">
        <v>158</v>
      </c>
      <c r="C92" s="304">
        <f>'Fiche de coûts'!C92+'Fiche de coûts part1'!C92+'Fiche de coûts part2'!C92</f>
        <v>0</v>
      </c>
      <c r="D92" s="304">
        <f>'Fiche de coûts'!D92+'Fiche de coûts part1'!D92+'Fiche de coûts part2'!D92</f>
        <v>0</v>
      </c>
      <c r="E92" s="15">
        <f>C92*C108+C109*D92</f>
        <v>0</v>
      </c>
      <c r="F92" s="87"/>
      <c r="G92" s="87"/>
      <c r="H92" s="92"/>
      <c r="I92" s="15">
        <f>'Fiche de coûts'!I92+'Fiche de coûts part1'!I92+'Fiche de coûts part2'!I92</f>
        <v>0</v>
      </c>
      <c r="J92" s="15">
        <f>'Fiche de coûts'!J92+'Fiche de coûts part1'!J92+'Fiche de coûts part2'!J92</f>
        <v>0</v>
      </c>
      <c r="K92" s="15">
        <f t="shared" si="4"/>
        <v>0</v>
      </c>
      <c r="L92" s="77">
        <f>E92*(1+C110)+I92+J92*(1+C112)</f>
        <v>0</v>
      </c>
      <c r="M92" s="156">
        <f>E92*(1+C119)+I92+J92</f>
        <v>0</v>
      </c>
    </row>
    <row r="93" spans="1:13" x14ac:dyDescent="0.25">
      <c r="A93" s="369"/>
      <c r="B93" s="5" t="s">
        <v>159</v>
      </c>
      <c r="C93" s="304">
        <f>'Fiche de coûts'!C93+'Fiche de coûts part1'!C93+'Fiche de coûts part2'!C93</f>
        <v>0</v>
      </c>
      <c r="D93" s="304">
        <f>'Fiche de coûts'!D93+'Fiche de coûts part1'!D93+'Fiche de coûts part2'!D93</f>
        <v>0</v>
      </c>
      <c r="E93" s="15">
        <f>C93*C108+C109*D93</f>
        <v>0</v>
      </c>
      <c r="F93" s="87"/>
      <c r="G93" s="87"/>
      <c r="H93" s="92"/>
      <c r="I93" s="15">
        <f>'Fiche de coûts'!I93+'Fiche de coûts part1'!I93+'Fiche de coûts part2'!I93</f>
        <v>0</v>
      </c>
      <c r="J93" s="15">
        <f>'Fiche de coûts'!J93+'Fiche de coûts part1'!J93+'Fiche de coûts part2'!J93</f>
        <v>0</v>
      </c>
      <c r="K93" s="15">
        <f t="shared" si="4"/>
        <v>0</v>
      </c>
      <c r="L93" s="77">
        <f>E93*(1+C110)+I93+J93*(1+C112)</f>
        <v>0</v>
      </c>
      <c r="M93" s="156">
        <f>E93*(1+C119)+I93+J93</f>
        <v>0</v>
      </c>
    </row>
    <row r="94" spans="1:13" x14ac:dyDescent="0.25">
      <c r="A94" s="369"/>
      <c r="B94" s="7" t="s">
        <v>160</v>
      </c>
      <c r="C94" s="126"/>
      <c r="D94" s="126"/>
      <c r="E94" s="127"/>
      <c r="F94" s="87"/>
      <c r="G94" s="87"/>
      <c r="H94" s="92"/>
      <c r="I94" s="15">
        <f>'Fiche de coûts'!I94+'Fiche de coûts part1'!I94+'Fiche de coûts part2'!I94</f>
        <v>0</v>
      </c>
      <c r="J94" s="15">
        <f>'Fiche de coûts'!J94+'Fiche de coûts part1'!J94+'Fiche de coûts part2'!J94</f>
        <v>0</v>
      </c>
      <c r="K94" s="15">
        <f t="shared" si="4"/>
        <v>0</v>
      </c>
      <c r="L94" s="77">
        <f>E94*(1+C110)+I94+J94*(1+C112)</f>
        <v>0</v>
      </c>
      <c r="M94" s="156">
        <f>E94*(1+C119)+I94+J94</f>
        <v>0</v>
      </c>
    </row>
    <row r="95" spans="1:13" x14ac:dyDescent="0.25">
      <c r="A95" s="369"/>
      <c r="B95" s="5" t="s">
        <v>161</v>
      </c>
      <c r="C95" s="304">
        <f>'Fiche de coûts'!C95+'Fiche de coûts part1'!C95+'Fiche de coûts part2'!C95</f>
        <v>0</v>
      </c>
      <c r="D95" s="304">
        <f>'Fiche de coûts'!D95+'Fiche de coûts part1'!D95+'Fiche de coûts part2'!D95</f>
        <v>0</v>
      </c>
      <c r="E95" s="15">
        <f>C95*C108+C109*D95</f>
        <v>0</v>
      </c>
      <c r="F95" s="87"/>
      <c r="G95" s="87"/>
      <c r="H95" s="92"/>
      <c r="I95" s="15">
        <f>'Fiche de coûts'!I95+'Fiche de coûts part1'!I95+'Fiche de coûts part2'!I95</f>
        <v>0</v>
      </c>
      <c r="J95" s="15">
        <f>'Fiche de coûts'!J95+'Fiche de coûts part1'!J95+'Fiche de coûts part2'!J95</f>
        <v>0</v>
      </c>
      <c r="K95" s="15">
        <f t="shared" si="4"/>
        <v>0</v>
      </c>
      <c r="L95" s="77">
        <f>E95*(1+C110)+I95+J95*(1+C112)</f>
        <v>0</v>
      </c>
      <c r="M95" s="156">
        <f>E95*(1+C119)+I95+J95</f>
        <v>0</v>
      </c>
    </row>
    <row r="96" spans="1:13" ht="15.75" thickBot="1" x14ac:dyDescent="0.3">
      <c r="A96" s="369"/>
      <c r="B96" s="3" t="s">
        <v>162</v>
      </c>
      <c r="C96" s="145"/>
      <c r="D96" s="145"/>
      <c r="E96" s="146"/>
      <c r="F96" s="89"/>
      <c r="G96" s="89"/>
      <c r="H96" s="147"/>
      <c r="I96" s="77">
        <f>'Fiche de coûts'!I96+'Fiche de coûts part1'!I96+'Fiche de coûts part2'!I96</f>
        <v>0</v>
      </c>
      <c r="J96" s="77">
        <f>'Fiche de coûts'!J96+'Fiche de coûts part1'!J96+'Fiche de coûts part2'!J96</f>
        <v>0</v>
      </c>
      <c r="K96" s="77">
        <f t="shared" si="4"/>
        <v>0</v>
      </c>
      <c r="L96" s="77">
        <f>E96*(1+C110)+I96+J96*(1+C112)</f>
        <v>0</v>
      </c>
      <c r="M96" s="157">
        <f>E96*(1+C119)+I96+J96</f>
        <v>0</v>
      </c>
    </row>
    <row r="97" spans="1:13" ht="14.45" customHeight="1" thickBot="1" x14ac:dyDescent="0.3">
      <c r="A97" s="358" t="s">
        <v>31</v>
      </c>
      <c r="B97" s="359"/>
      <c r="C97" s="80">
        <f t="shared" ref="C97:E97" si="6">SUM(C56:C96)</f>
        <v>3</v>
      </c>
      <c r="D97" s="80">
        <f t="shared" si="6"/>
        <v>12</v>
      </c>
      <c r="E97" s="81">
        <f t="shared" si="6"/>
        <v>654.75</v>
      </c>
      <c r="F97" s="81">
        <f>SUM(F56:F96)</f>
        <v>21</v>
      </c>
      <c r="G97" s="81">
        <f>SUM(G56:G96)</f>
        <v>0</v>
      </c>
      <c r="H97" s="81">
        <f t="shared" ref="H97:J97" si="7">SUM(H56:H96)</f>
        <v>877.31</v>
      </c>
      <c r="I97" s="81">
        <f t="shared" si="7"/>
        <v>0</v>
      </c>
      <c r="J97" s="81">
        <f t="shared" si="7"/>
        <v>4665</v>
      </c>
      <c r="K97" s="81">
        <f>SUM(K56:K96)</f>
        <v>6197.0599999999995</v>
      </c>
      <c r="L97" s="81">
        <f>SUM(L56:L96)</f>
        <v>8105.9272009999995</v>
      </c>
      <c r="M97" s="158">
        <f>SUM(M56:M96)</f>
        <v>7792.8536960000001</v>
      </c>
    </row>
    <row r="99" spans="1:13" x14ac:dyDescent="0.25">
      <c r="A99" s="4" t="s">
        <v>21</v>
      </c>
    </row>
    <row r="100" spans="1:13" x14ac:dyDescent="0.25">
      <c r="A100" s="4" t="s">
        <v>155</v>
      </c>
    </row>
    <row r="104" spans="1:13" x14ac:dyDescent="0.25">
      <c r="B104" s="9" t="s">
        <v>20</v>
      </c>
    </row>
    <row r="105" spans="1:13" ht="15.75" thickBot="1" x14ac:dyDescent="0.3">
      <c r="B105" s="269" t="s">
        <v>219</v>
      </c>
      <c r="C105" s="269">
        <v>2019</v>
      </c>
    </row>
    <row r="106" spans="1:13" ht="14.45" customHeight="1" x14ac:dyDescent="0.25">
      <c r="G106" s="430" t="str">
        <f>CONCATENATE("Tarifs applicables en cas d'utilisation pluriannuelle de cette fiche de coûts (application d'un coefficient de dérive annuelle de ",C120*100, " % à la phase de réalisation (phase de conception exclue car effectuée en année 1) :")</f>
        <v>Tarifs applicables en cas d'utilisation pluriannuelle de cette fiche de coûts (application d'un coefficient de dérive annuelle de 2 % à la phase de réalisation (phase de conception exclue car effectuée en année 1) :</v>
      </c>
      <c r="H106" s="431"/>
      <c r="I106" s="431"/>
      <c r="J106" s="431"/>
      <c r="K106" s="431"/>
      <c r="L106" s="431"/>
      <c r="M106" s="432"/>
    </row>
    <row r="107" spans="1:13" ht="15.75" thickBot="1" x14ac:dyDescent="0.3">
      <c r="C107" s="288" t="s">
        <v>54</v>
      </c>
      <c r="G107" s="433"/>
      <c r="H107" s="434"/>
      <c r="I107" s="434"/>
      <c r="J107" s="434"/>
      <c r="K107" s="434"/>
      <c r="L107" s="434"/>
      <c r="M107" s="435"/>
    </row>
    <row r="108" spans="1:13" ht="14.45" customHeight="1" x14ac:dyDescent="0.25">
      <c r="B108" s="11" t="s">
        <v>22</v>
      </c>
      <c r="C108" s="323">
        <f>ROUND(60.61*1.0191,2)</f>
        <v>61.77</v>
      </c>
      <c r="G108" s="213"/>
      <c r="H108" s="214"/>
      <c r="I108" s="438" t="s">
        <v>16</v>
      </c>
      <c r="J108" s="438" t="s">
        <v>17</v>
      </c>
      <c r="K108" s="438" t="str">
        <f>CONCATENATE("Prix de vente hors CEA préconisé avec taux de marge de ",C15*100,"%")</f>
        <v>Prix de vente hors CEA préconisé avec taux de marge de 10%</v>
      </c>
      <c r="L108" s="440" t="s">
        <v>206</v>
      </c>
      <c r="M108" s="442" t="s">
        <v>220</v>
      </c>
    </row>
    <row r="109" spans="1:13" x14ac:dyDescent="0.25">
      <c r="B109" s="11" t="s">
        <v>23</v>
      </c>
      <c r="C109" s="323">
        <f>ROUND(38.39*1.0191,2)</f>
        <v>39.119999999999997</v>
      </c>
      <c r="G109" s="211"/>
      <c r="H109" s="190"/>
      <c r="I109" s="439"/>
      <c r="J109" s="439"/>
      <c r="K109" s="439"/>
      <c r="L109" s="441"/>
      <c r="M109" s="443"/>
    </row>
    <row r="110" spans="1:13" x14ac:dyDescent="0.25">
      <c r="B110" s="273" t="s">
        <v>173</v>
      </c>
      <c r="C110" s="324">
        <v>1.1529</v>
      </c>
      <c r="G110" s="436" t="s">
        <v>221</v>
      </c>
      <c r="H110" s="437"/>
      <c r="I110" s="439"/>
      <c r="J110" s="439"/>
      <c r="K110" s="439"/>
      <c r="L110" s="441"/>
      <c r="M110" s="443"/>
    </row>
    <row r="111" spans="1:13" x14ac:dyDescent="0.25">
      <c r="B111" s="273" t="s">
        <v>172</v>
      </c>
      <c r="C111" s="324">
        <v>1.1346000000000001</v>
      </c>
      <c r="G111" s="211"/>
      <c r="H111" s="190"/>
      <c r="I111" s="439"/>
      <c r="J111" s="439"/>
      <c r="K111" s="439"/>
      <c r="L111" s="441"/>
      <c r="M111" s="443"/>
    </row>
    <row r="112" spans="1:13" x14ac:dyDescent="0.25">
      <c r="B112" s="6" t="s">
        <v>28</v>
      </c>
      <c r="C112" s="324">
        <v>3.4000000000000002E-2</v>
      </c>
      <c r="G112" s="211"/>
      <c r="H112" s="190"/>
      <c r="I112" s="439"/>
      <c r="J112" s="439"/>
      <c r="K112" s="439"/>
      <c r="L112" s="441"/>
      <c r="M112" s="443"/>
    </row>
    <row r="113" spans="2:13" x14ac:dyDescent="0.25">
      <c r="B113" s="6" t="s">
        <v>48</v>
      </c>
      <c r="C113" s="321">
        <v>82.460000000000008</v>
      </c>
      <c r="G113" s="444" t="str">
        <f>CONCATENATE("Prix par participant ",C105)</f>
        <v>Prix par participant 2019</v>
      </c>
      <c r="H113" s="410"/>
      <c r="I113" s="320">
        <f>J11</f>
        <v>995</v>
      </c>
      <c r="J113" s="320">
        <f>K11</f>
        <v>1320</v>
      </c>
      <c r="K113" s="320">
        <f>L11</f>
        <v>1452</v>
      </c>
      <c r="L113" s="212" t="str">
        <f>J17</f>
        <v>A saisir</v>
      </c>
      <c r="M113" s="215" t="str">
        <f>J18</f>
        <v>A saisir</v>
      </c>
    </row>
    <row r="114" spans="2:13" x14ac:dyDescent="0.25">
      <c r="B114" s="6" t="s">
        <v>49</v>
      </c>
      <c r="C114" s="321">
        <v>54.53</v>
      </c>
      <c r="G114" s="444" t="str">
        <f>CONCATENATE("Prix par participant ",C105+1)</f>
        <v>Prix par participant 2020</v>
      </c>
      <c r="H114" s="410"/>
      <c r="I114" s="321">
        <f>ROUND((K29-K97+K97*(1+C120))*1.1/C14,0)</f>
        <v>1015</v>
      </c>
      <c r="J114" s="321">
        <f>ROUND((L29-L97+L97*(1+C120))*1.1/C14,0)</f>
        <v>1346</v>
      </c>
      <c r="K114" s="321">
        <f>ROUND(J114*(1+C15),0)</f>
        <v>1481</v>
      </c>
      <c r="L114" s="212" t="s">
        <v>190</v>
      </c>
      <c r="M114" s="215" t="s">
        <v>190</v>
      </c>
    </row>
    <row r="115" spans="2:13" x14ac:dyDescent="0.25">
      <c r="B115" s="6" t="s">
        <v>50</v>
      </c>
      <c r="C115" s="321">
        <v>41.230000000000004</v>
      </c>
      <c r="G115" s="444" t="str">
        <f>CONCATENATE("Prix par participant ",C105+2)</f>
        <v>Prix par participant 2021</v>
      </c>
      <c r="H115" s="410"/>
      <c r="I115" s="321">
        <f>ROUND((K29-K97+K97*(1+C120)*(1+C120))*1.1/C14,0)</f>
        <v>1035</v>
      </c>
      <c r="J115" s="321">
        <f>ROUND((L29-L97+L97*(1+C120)*(1+C120))*1.1/C14,0)</f>
        <v>1372</v>
      </c>
      <c r="K115" s="321">
        <f>ROUND(J115*(1+C15),0)</f>
        <v>1509</v>
      </c>
      <c r="L115" s="212" t="s">
        <v>190</v>
      </c>
      <c r="M115" s="215" t="s">
        <v>190</v>
      </c>
    </row>
    <row r="116" spans="2:13" x14ac:dyDescent="0.25">
      <c r="B116" s="6" t="s">
        <v>51</v>
      </c>
      <c r="C116" s="321">
        <v>61.910000000000004</v>
      </c>
      <c r="G116" s="444" t="str">
        <f>CONCATENATE("Prix par participant ",C105+3)</f>
        <v>Prix par participant 2022</v>
      </c>
      <c r="H116" s="410"/>
      <c r="I116" s="321">
        <f>ROUND((K29-K97+K97*(1+C120)*(1+C120)*(1+C120))*1.1/C14,0)</f>
        <v>1055</v>
      </c>
      <c r="J116" s="321">
        <f>ROUND((L29-L97+L97*(1+C120)*(1+C120)*(1+C120))*1.1/C14,0)</f>
        <v>1398</v>
      </c>
      <c r="K116" s="321">
        <f>ROUND(J116*(1+C15),0)</f>
        <v>1538</v>
      </c>
      <c r="L116" s="212" t="s">
        <v>190</v>
      </c>
      <c r="M116" s="215" t="s">
        <v>190</v>
      </c>
    </row>
    <row r="117" spans="2:13" x14ac:dyDescent="0.25">
      <c r="B117" s="6" t="s">
        <v>52</v>
      </c>
      <c r="C117" s="321">
        <v>40.770000000000003</v>
      </c>
      <c r="G117" s="444" t="str">
        <f>CONCATENATE("Prix par participant ",C105+4)</f>
        <v>Prix par participant 2023</v>
      </c>
      <c r="H117" s="410"/>
      <c r="I117" s="321">
        <f>ROUND((K29-K97+K97*(1+C120)*(1+C120)*(1+C120)*(1+C120))*1.1/C14,0)</f>
        <v>1076</v>
      </c>
      <c r="J117" s="321">
        <f>ROUND((L29-L97+L97*(1+C120)*(1+C120)*(1+C120)*(1+C120))*1.1/C14,0)</f>
        <v>1425</v>
      </c>
      <c r="K117" s="321">
        <f>ROUND(J117*(1+C15),0)</f>
        <v>1568</v>
      </c>
      <c r="L117" s="212" t="s">
        <v>190</v>
      </c>
      <c r="M117" s="215" t="s">
        <v>190</v>
      </c>
    </row>
    <row r="118" spans="2:13" ht="15.75" thickBot="1" x14ac:dyDescent="0.3">
      <c r="B118" s="6" t="s">
        <v>53</v>
      </c>
      <c r="C118" s="321">
        <v>31.71</v>
      </c>
      <c r="G118" s="428" t="str">
        <f>CONCATENATE("Prix par participant ",C105+5)</f>
        <v>Prix par participant 2024</v>
      </c>
      <c r="H118" s="429"/>
      <c r="I118" s="322">
        <f>ROUND((K29-K97+K97*(1+C120)*(1+C120)*(1+C120)*(1+C120)*(1+C120))*1.1/C14,0)</f>
        <v>1097</v>
      </c>
      <c r="J118" s="322">
        <f>ROUND((L29-L97+L97*(1+C120)*(1+C120)*(1+C120)*(1+C120)*(1+C120))*1.1/C14,0)</f>
        <v>1453</v>
      </c>
      <c r="K118" s="322">
        <f>ROUND(J118*(1+C15),0)</f>
        <v>1598</v>
      </c>
      <c r="L118" s="217" t="s">
        <v>190</v>
      </c>
      <c r="M118" s="218" t="s">
        <v>190</v>
      </c>
    </row>
    <row r="119" spans="2:13" ht="30" x14ac:dyDescent="0.25">
      <c r="B119" s="6" t="s">
        <v>188</v>
      </c>
      <c r="C119" s="324">
        <v>1.0416000000000001</v>
      </c>
    </row>
    <row r="120" spans="2:13" x14ac:dyDescent="0.25">
      <c r="B120" s="6" t="s">
        <v>222</v>
      </c>
      <c r="C120" s="324">
        <v>0.02</v>
      </c>
    </row>
  </sheetData>
  <mergeCells count="75">
    <mergeCell ref="G7:I7"/>
    <mergeCell ref="L7:M7"/>
    <mergeCell ref="C3:I3"/>
    <mergeCell ref="A1:M1"/>
    <mergeCell ref="C5:F5"/>
    <mergeCell ref="L5:M5"/>
    <mergeCell ref="G6:I6"/>
    <mergeCell ref="L6:M6"/>
    <mergeCell ref="G8:I8"/>
    <mergeCell ref="L8:M8"/>
    <mergeCell ref="G9:I9"/>
    <mergeCell ref="L9:M9"/>
    <mergeCell ref="G10:I10"/>
    <mergeCell ref="L10:M10"/>
    <mergeCell ref="C11:E11"/>
    <mergeCell ref="G11:I11"/>
    <mergeCell ref="L11:M11"/>
    <mergeCell ref="D12:E12"/>
    <mergeCell ref="G12:I12"/>
    <mergeCell ref="L12:M12"/>
    <mergeCell ref="G20:M20"/>
    <mergeCell ref="G13:I13"/>
    <mergeCell ref="L13:M13"/>
    <mergeCell ref="G14:I14"/>
    <mergeCell ref="L14:M14"/>
    <mergeCell ref="G15:I15"/>
    <mergeCell ref="L15:M15"/>
    <mergeCell ref="G16:I16"/>
    <mergeCell ref="L16:M16"/>
    <mergeCell ref="G17:I17"/>
    <mergeCell ref="G18:I18"/>
    <mergeCell ref="G19:I19"/>
    <mergeCell ref="K17:L17"/>
    <mergeCell ref="K18:L18"/>
    <mergeCell ref="G21:I21"/>
    <mergeCell ref="L21:M21"/>
    <mergeCell ref="G22:I22"/>
    <mergeCell ref="L22:M22"/>
    <mergeCell ref="G23:I23"/>
    <mergeCell ref="L23:M23"/>
    <mergeCell ref="A53:B53"/>
    <mergeCell ref="G24:I24"/>
    <mergeCell ref="L24:M24"/>
    <mergeCell ref="A29:J29"/>
    <mergeCell ref="A31:M31"/>
    <mergeCell ref="A32:A33"/>
    <mergeCell ref="A34:A37"/>
    <mergeCell ref="G117:H117"/>
    <mergeCell ref="G118:H118"/>
    <mergeCell ref="A80:A88"/>
    <mergeCell ref="A89:A96"/>
    <mergeCell ref="A97:B97"/>
    <mergeCell ref="G106:M107"/>
    <mergeCell ref="I108:I112"/>
    <mergeCell ref="J108:J112"/>
    <mergeCell ref="K108:K112"/>
    <mergeCell ref="L108:L112"/>
    <mergeCell ref="M108:M112"/>
    <mergeCell ref="G110:H110"/>
    <mergeCell ref="C13:E13"/>
    <mergeCell ref="G113:H113"/>
    <mergeCell ref="G114:H114"/>
    <mergeCell ref="G115:H115"/>
    <mergeCell ref="G116:H116"/>
    <mergeCell ref="A55:M55"/>
    <mergeCell ref="A56:A61"/>
    <mergeCell ref="A62:A66"/>
    <mergeCell ref="A67:A71"/>
    <mergeCell ref="A72:A73"/>
    <mergeCell ref="A74:A75"/>
    <mergeCell ref="A38:A48"/>
    <mergeCell ref="A49:B49"/>
    <mergeCell ref="A50:H50"/>
    <mergeCell ref="A51:B51"/>
    <mergeCell ref="F52:H52"/>
  </mergeCells>
  <pageMargins left="0.17" right="0.17" top="0.4" bottom="0.25" header="0.3" footer="0.17"/>
  <pageSetup paperSize="8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5</vt:i4>
      </vt:variant>
    </vt:vector>
  </HeadingPairs>
  <TitlesOfParts>
    <vt:vector size="20" baseType="lpstr">
      <vt:lpstr>Mode d'emploi</vt:lpstr>
      <vt:lpstr>Table OS Formations</vt:lpstr>
      <vt:lpstr>Fiche de coûts</vt:lpstr>
      <vt:lpstr>Coûts installations</vt:lpstr>
      <vt:lpstr>Coûts frais variables</vt:lpstr>
      <vt:lpstr>Coûts frais déplacement</vt:lpstr>
      <vt:lpstr>Fiche de coûts part1</vt:lpstr>
      <vt:lpstr>Coûts installations part1</vt:lpstr>
      <vt:lpstr>Coûts frais variables part1</vt:lpstr>
      <vt:lpstr>Coûts frais déplacement part1</vt:lpstr>
      <vt:lpstr>Fiche de coûts part2</vt:lpstr>
      <vt:lpstr>Coûts installations part2</vt:lpstr>
      <vt:lpstr>Coûts frais variables part2</vt:lpstr>
      <vt:lpstr>Coûts frais déplacement part2</vt:lpstr>
      <vt:lpstr>Fiche de coûts conso</vt:lpstr>
      <vt:lpstr>'Fiche de coûts'!Zone_d_impression</vt:lpstr>
      <vt:lpstr>'Fiche de coûts conso'!Zone_d_impression</vt:lpstr>
      <vt:lpstr>'Fiche de coûts part1'!Zone_d_impression</vt:lpstr>
      <vt:lpstr>'Fiche de coûts part2'!Zone_d_impression</vt:lpstr>
      <vt:lpstr>'Table OS Formations'!Zone_d_impression</vt:lpstr>
    </vt:vector>
  </TitlesOfParts>
  <Company>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COSTE Jean-christophe</dc:creator>
  <cp:lastModifiedBy>TESTARD Vincent</cp:lastModifiedBy>
  <cp:lastPrinted>2019-01-16T18:59:08Z</cp:lastPrinted>
  <dcterms:created xsi:type="dcterms:W3CDTF">2018-11-22T17:13:44Z</dcterms:created>
  <dcterms:modified xsi:type="dcterms:W3CDTF">2026-04-28T17:42:51Z</dcterms:modified>
</cp:coreProperties>
</file>