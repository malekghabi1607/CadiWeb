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Prog\Modèles\"/>
    </mc:Choice>
  </mc:AlternateContent>
  <xr:revisionPtr revIDLastSave="0" documentId="13_ncr:1_{2B8AF5A8-D115-448F-A895-D780221EA1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agiaires" sheetId="1" r:id="rId1"/>
    <sheet name="TCD" sheetId="2" r:id="rId2"/>
    <sheet name="CSV_stagiaires" sheetId="3" r:id="rId3"/>
    <sheet name="Critères" sheetId="4" r:id="rId4"/>
  </sheets>
  <externalReferences>
    <externalReference r:id="rId5"/>
  </externalReferences>
  <definedNames>
    <definedName name="codeFormation" localSheetId="2">'[1]Stats pour bilan'!$B$2</definedName>
    <definedName name="codeFormation">#REF!</definedName>
    <definedName name="codeIRIS">#REF!</definedName>
    <definedName name="nbInscrits" localSheetId="2">'[1]Stats pour bilan'!$B$4</definedName>
    <definedName name="nbInscrits">#REF!</definedName>
    <definedName name="Segment_Année">#N/A</definedName>
    <definedName name="Segment_Année1">#N/A</definedName>
    <definedName name="Segment_N°_Session">#N/A</definedName>
    <definedName name="Segment_N°_Session1">#N/A</definedName>
    <definedName name="Segment_Trigramme_formation">#N/A</definedName>
    <definedName name="Segment_Trigramme_formation1">#N/A</definedName>
    <definedName name="Segment_Trigramme_RP">#N/A</definedName>
    <definedName name="Segment_Trigramme_RP1">#N/A</definedName>
  </definedNames>
  <calcPr calcId="0"/>
  <pivotCaches>
    <pivotCache cacheId="3" r:id="rId6"/>
  </pivotCaches>
</workbook>
</file>

<file path=xl/sharedStrings.xml><?xml version="1.0" encoding="utf-8"?>
<sst xmlns="http://schemas.openxmlformats.org/spreadsheetml/2006/main" count="117" uniqueCount="63">
  <si>
    <t>SESSIONS</t>
  </si>
  <si>
    <t>CSV</t>
  </si>
  <si>
    <t>N° Session</t>
  </si>
  <si>
    <t>Formation</t>
  </si>
  <si>
    <t>Trigramme formation</t>
  </si>
  <si>
    <t>Année</t>
  </si>
  <si>
    <t>Type de formation</t>
  </si>
  <si>
    <t>Nb présents</t>
  </si>
  <si>
    <t>Chemin fichier CSV</t>
  </si>
  <si>
    <t>Date</t>
  </si>
  <si>
    <t>NOM Prénom</t>
  </si>
  <si>
    <t>Entreprise</t>
  </si>
  <si>
    <t>Critère</t>
  </si>
  <si>
    <t>Note</t>
  </si>
  <si>
    <t>Commentaires</t>
  </si>
  <si>
    <t>LARQUET Lucas</t>
  </si>
  <si>
    <t>Accueil, organisation et qualité des informations délivrées</t>
  </si>
  <si>
    <t>Informations après l'inscription</t>
  </si>
  <si>
    <t>Accueil à l'arrivée sur site</t>
  </si>
  <si>
    <t>Prise en compte de vos besoins et attentes</t>
  </si>
  <si>
    <t>Qualité des animations</t>
  </si>
  <si>
    <t>Logique d'enchainement des interventions</t>
  </si>
  <si>
    <t>Qualité des supports de cours utilisés</t>
  </si>
  <si>
    <t>Qualité des moyens pédagogique</t>
  </si>
  <si>
    <t>Satisfaction globale</t>
  </si>
  <si>
    <t>Avez-vous d'autres besoins de formation ?</t>
  </si>
  <si>
    <t>Comment avez-vous connu cette formation ?</t>
  </si>
  <si>
    <t>Recommanderiez-vous cette formation ?</t>
  </si>
  <si>
    <t>QUENSON Aubin</t>
  </si>
  <si>
    <t>Conseils et orientation avant l'inscription</t>
  </si>
  <si>
    <t>Accès aux outils digitaux</t>
  </si>
  <si>
    <t>BARRUYER Jérôme</t>
  </si>
  <si>
    <t>BLAISE Corentin</t>
  </si>
  <si>
    <t>COMTE Clément</t>
  </si>
  <si>
    <t>CHANINET Eric</t>
  </si>
  <si>
    <t>Total général</t>
  </si>
  <si>
    <t>Prénom</t>
  </si>
  <si>
    <t>Nom</t>
  </si>
  <si>
    <t>Code session</t>
  </si>
  <si>
    <t>Commentaires3</t>
  </si>
  <si>
    <t>Commentaires4</t>
  </si>
  <si>
    <t>Commentaires5</t>
  </si>
  <si>
    <t>Commentaires6</t>
  </si>
  <si>
    <t>Commentaires7</t>
  </si>
  <si>
    <t>Commentaires8</t>
  </si>
  <si>
    <t>Commentaires9</t>
  </si>
  <si>
    <t>Commentaires10</t>
  </si>
  <si>
    <t>Commentaires11</t>
  </si>
  <si>
    <t>Commentaires12</t>
  </si>
  <si>
    <t>Lesquels ?</t>
  </si>
  <si>
    <t>Commentaires, remarques, suggestions</t>
  </si>
  <si>
    <t>Critères</t>
  </si>
  <si>
    <t>Pédagogie</t>
  </si>
  <si>
    <t>Intervenants</t>
  </si>
  <si>
    <t>Accueil</t>
  </si>
  <si>
    <t>Commercial</t>
  </si>
  <si>
    <t>Groupe</t>
  </si>
  <si>
    <t>Note moyenne</t>
  </si>
  <si>
    <t xml:space="preserve"> </t>
  </si>
  <si>
    <t>Satisfaction</t>
  </si>
  <si>
    <t>Code IRIS</t>
  </si>
  <si>
    <t>Trigramme RP</t>
  </si>
  <si>
    <t>Trigramme 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</si>
</sst>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&quot;/5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theme="9" tint="-0.249977111117893"/>
      </top>
      <bottom/>
      <diagonal/>
    </border>
    <border>
      <left/>
      <right/>
      <top style="thin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/>
      <diagonal/>
    </border>
    <border>
      <left/>
      <right/>
      <top/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0" fontId="0" fillId="0" borderId="0" xfId="0"/>
    <xf numFmtId="14" fontId="0" fillId="0" borderId="0" xfId="0" applyNumberFormat="1"/>
    <xf numFmtId="0" fontId="0" fillId="0" borderId="0" xfId="0"/>
    <xf numFmtId="0" fontId="0" fillId="8" borderId="4" xfId="0" applyFill="1" applyBorder="1" applyAlignment="1">
      <alignment horizontal="left"/>
    </xf>
    <xf numFmtId="164" fontId="0" fillId="0" borderId="4" xfId="0" applyNumberFormat="1" applyBorder="1"/>
    <xf numFmtId="0" fontId="0" fillId="8" borderId="5" xfId="0" applyFill="1" applyBorder="1" applyAlignment="1">
      <alignment horizontal="left"/>
    </xf>
    <xf numFmtId="164" fontId="0" fillId="0" borderId="5" xfId="0" applyNumberFormat="1" applyBorder="1"/>
    <xf numFmtId="0" fontId="0" fillId="9" borderId="0" xfId="0" applyFill="1" applyBorder="1" applyAlignment="1">
      <alignment horizontal="left"/>
    </xf>
    <xf numFmtId="164" fontId="0" fillId="0" borderId="0" xfId="0" applyNumberFormat="1" applyBorder="1"/>
    <xf numFmtId="0" fontId="0" fillId="9" borderId="5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0" fillId="13" borderId="0" xfId="0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3" fillId="15" borderId="3" xfId="0" applyFont="1" applyFill="1" applyBorder="1" applyAlignment="1">
      <alignment vertical="center"/>
    </xf>
    <xf numFmtId="0" fontId="1" fillId="0" borderId="2" xfId="0" applyFont="1" applyBorder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0" fontId="0" fillId="11" borderId="0" xfId="0" applyFill="1" applyBorder="1" applyAlignment="1">
      <alignment horizontal="left"/>
    </xf>
    <xf numFmtId="0" fontId="0" fillId="16" borderId="5" xfId="0" applyFill="1" applyBorder="1" applyAlignment="1">
      <alignment horizontal="left"/>
    </xf>
    <xf numFmtId="0" fontId="2" fillId="0" borderId="0" xfId="0" applyFont="1" applyAlignment="1">
      <alignment vertical="center" wrapText="1"/>
    </xf>
    <xf numFmtId="0" fontId="0" fillId="0" borderId="7" xfId="0" pivotButton="1" applyBorder="1"/>
    <xf numFmtId="0" fontId="0" fillId="0" borderId="8" xfId="0" applyBorder="1"/>
    <xf numFmtId="0" fontId="0" fillId="7" borderId="7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164" fontId="0" fillId="0" borderId="7" xfId="0" applyNumberFormat="1" applyBorder="1"/>
    <xf numFmtId="164" fontId="0" fillId="0" borderId="8" xfId="0" applyNumberFormat="1" applyBorder="1"/>
    <xf numFmtId="0" fontId="0" fillId="0" borderId="7" xfId="0" applyBorder="1"/>
    <xf numFmtId="0" fontId="0" fillId="0" borderId="0" xfId="0" applyBorder="1"/>
    <xf numFmtId="0" fontId="0" fillId="10" borderId="7" xfId="0" applyFill="1" applyBorder="1" applyAlignment="1">
      <alignment vertical="center" wrapText="1"/>
    </xf>
    <xf numFmtId="0" fontId="0" fillId="10" borderId="0" xfId="0" applyFill="1" applyBorder="1" applyAlignment="1">
      <alignment vertical="center" wrapText="1"/>
    </xf>
    <xf numFmtId="0" fontId="0" fillId="10" borderId="8" xfId="0" applyFill="1" applyBorder="1" applyAlignment="1">
      <alignment vertical="center" wrapText="1"/>
    </xf>
    <xf numFmtId="0" fontId="0" fillId="12" borderId="7" xfId="0" applyFill="1" applyBorder="1" applyAlignment="1">
      <alignment vertical="center" wrapText="1"/>
    </xf>
    <xf numFmtId="0" fontId="0" fillId="12" borderId="8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15" borderId="6" xfId="0" applyFill="1" applyBorder="1" applyAlignment="1">
      <alignment vertical="center" wrapText="1"/>
    </xf>
    <xf numFmtId="164" fontId="0" fillId="0" borderId="6" xfId="0" applyNumberFormat="1" applyBorder="1"/>
    <xf numFmtId="0" fontId="0" fillId="0" borderId="0" xfId="0" pivotButton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19" borderId="7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0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8" borderId="0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77">
    <dxf>
      <numFmt numFmtId="164" formatCode="0.0"/>
    </dxf>
    <dxf>
      <alignment horizontal="general" vertical="center" wrapText="1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164" formatCode="0.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b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numFmt numFmtId="19" formatCode="dd/mm/yyyy"/>
    </dxf>
    <dxf>
      <alignment horizontal="general" vertical="center" wrapText="1"/>
    </dxf>
    <dxf>
      <alignment vertical="center"/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fill>
        <patternFill patternType="solid">
          <bgColor theme="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top style="medium">
          <color theme="9" tint="-0.24994659260841701"/>
        </top>
        <bottom style="medium">
          <color theme="9" tint="-0.24994659260841701"/>
        </bottom>
      </border>
    </dxf>
    <dxf>
      <border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65" formatCode="0&quot;/5&quot;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9" formatCode="dd/mm/yyyy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pivotSource>
    <c:name>[Evaluation-Stagiaires-Modèle.xlsx]TCD!Tableau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 par critère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TCD!$B$12:$B$25</c:f>
              <c:strCache>
                <c:ptCount val="13"/>
                <c:pt idx="0">
                  <c:v>Satisfaction globale</c:v>
                </c:pt>
                <c:pt idx="1">
                  <c:v>Recommanderiez-vous cette formation ?</c:v>
                </c:pt>
                <c:pt idx="2">
                  <c:v>Prise en compte de vos besoins et attentes</c:v>
                </c:pt>
                <c:pt idx="3">
                  <c:v>Logique d'enchainement des interventions</c:v>
                </c:pt>
                <c:pt idx="4">
                  <c:v>Qualité des moyens pédagogique</c:v>
                </c:pt>
                <c:pt idx="5">
                  <c:v>Accès aux outils digitaux</c:v>
                </c:pt>
                <c:pt idx="6">
                  <c:v>Qualité des animations</c:v>
                </c:pt>
                <c:pt idx="7">
                  <c:v>Qualité des supports de cours utilisés</c:v>
                </c:pt>
                <c:pt idx="8">
                  <c:v>Accueil, organisation et qualité des informations délivrées</c:v>
                </c:pt>
                <c:pt idx="9">
                  <c:v>Conseils et orientation avant l'inscription</c:v>
                </c:pt>
                <c:pt idx="10">
                  <c:v>Informations après l'inscription</c:v>
                </c:pt>
                <c:pt idx="11">
                  <c:v>Accueil à l'arrivée sur site</c:v>
                </c:pt>
                <c:pt idx="12">
                  <c:v>Avez-vous d'autres besoins de formation ?</c:v>
                </c:pt>
              </c:strCache>
            </c:strRef>
          </c:cat>
          <c:val>
            <c:numRef>
              <c:f>TCD!$C$12:$C$25</c:f>
              <c:numCache>
                <c:formatCode>0.0</c:formatCode>
                <c:ptCount val="13"/>
                <c:pt idx="0">
                  <c:v>4.166666666666667</c:v>
                </c:pt>
                <c:pt idx="1">
                  <c:v>5</c:v>
                </c:pt>
                <c:pt idx="2">
                  <c:v>3.1666666666666665</c:v>
                </c:pt>
                <c:pt idx="3">
                  <c:v>3.6666666666666665</c:v>
                </c:pt>
                <c:pt idx="4">
                  <c:v>4.166666666666667</c:v>
                </c:pt>
                <c:pt idx="5">
                  <c:v>2.5</c:v>
                </c:pt>
                <c:pt idx="6">
                  <c:v>3.8333333333333335</c:v>
                </c:pt>
                <c:pt idx="7">
                  <c:v>3.1666666666666665</c:v>
                </c:pt>
                <c:pt idx="8">
                  <c:v>4</c:v>
                </c:pt>
                <c:pt idx="9">
                  <c:v>4.2</c:v>
                </c:pt>
                <c:pt idx="10">
                  <c:v>3.6666666666666665</c:v>
                </c:pt>
                <c:pt idx="11">
                  <c:v>4.333333333333333</c:v>
                </c:pt>
                <c:pt idx="1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0-45F5-917A-4D6A3ACC3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84335"/>
        <c:axId val="989387247"/>
      </c:barChart>
      <c:catAx>
        <c:axId val="98938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7247"/>
        <c:crosses val="autoZero"/>
        <c:auto val="1"/>
        <c:lblAlgn val="ctr"/>
        <c:lblOffset val="100"/>
        <c:noMultiLvlLbl val="0"/>
      </c:catAx>
      <c:valAx>
        <c:axId val="98938724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4335"/>
        <c:crosses val="autoZero"/>
        <c:crossBetween val="between"/>
        <c:majorUnit val="1"/>
        <c:minorUnit val="0.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12</xdr:row>
      <xdr:rowOff>14287</xdr:rowOff>
    </xdr:from>
    <xdr:to>
      <xdr:col>14</xdr:col>
      <xdr:colOff>295274</xdr:colOff>
      <xdr:row>28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ORMATIONS_C\54C\P07-bilan-sessions-et-bilan-formation\rapports-sessions-evaluations\2023-06-S14317%20UEM\S-14317-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 pour bilan"/>
      <sheetName val="Interventions"/>
      <sheetName val="Session"/>
      <sheetName val="InterventionsParCritère"/>
      <sheetName val="TCD-Participants &amp; intervenants"/>
      <sheetName val="TCD-Intervenant &amp; retours"/>
    </sheetNames>
    <sheetDataSet>
      <sheetData sheetId="0">
        <row r="2">
          <cell r="B2" t="str">
            <v>54C</v>
          </cell>
        </row>
        <row r="4">
          <cell r="B4">
            <v>13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cent TESTARD" refreshedDate="45893.894713078706" missingItemsLimit="0" createdVersion="7" refreshedVersion="7" minRefreshableVersion="3" recordCount="81" xr:uid="{00000000-000A-0000-FFFF-FFFF00000000}">
  <cacheSource type="worksheet">
    <worksheetSource name="Stagiaires"/>
  </cacheSource>
  <cacheFields count="16">
    <cacheField name="N° Session" numFmtId="0">
      <sharedItems/>
    </cacheField>
    <cacheField name="Formation" numFmtId="0">
      <sharedItems/>
    </cacheField>
    <cacheField name="Trigramme formation" numFmtId="0">
      <sharedItems/>
    </cacheField>
    <cacheField name="Code IRIS" numFmtId="0">
      <sharedItems/>
    </cacheField>
    <cacheField name="Année" numFmtId="0">
      <sharedItems containsSemiMixedTypes="0" containsString="0" containsNumber="1" containsInteger="1" minValue="2025" maxValue="2025" count="1">
        <n v="2025"/>
      </sharedItems>
    </cacheField>
    <cacheField name="Type de formation" numFmtId="0">
      <sharedItems/>
    </cacheField>
    <cacheField name="Trigramme RP" numFmtId="0">
      <sharedItems count="1">
        <s v="VTE"/>
      </sharedItems>
    </cacheField>
    <cacheField name="Trigramme AF" numFmtId="0">
      <sharedItems count="1">
        <s v="CAR"/>
      </sharedItems>
    </cacheField>
    <cacheField name="Nb présents" numFmtId="0">
      <sharedItems containsSemiMixedTypes="0" containsString="0" containsNumber="1" containsInteger="1" minValue="7" maxValue="7"/>
    </cacheField>
    <cacheField name="Chemin fichier CSV" numFmtId="0">
      <sharedItems/>
    </cacheField>
    <cacheField name="Date" numFmtId="14">
      <sharedItems/>
    </cacheField>
    <cacheField name="NOM Prénom" numFmtId="0">
      <sharedItems count="6">
        <s v="LARQUET Lucas"/>
        <s v="QUENSON Aubin"/>
        <s v="BARRUYER Jérôme"/>
        <s v="BLAISE Corentin"/>
        <s v="COMTE Clément"/>
        <s v="CHANINET Eric"/>
      </sharedItems>
    </cacheField>
    <cacheField name="Entreprise" numFmtId="0">
      <sharedItems/>
    </cacheField>
    <cacheField name="Critère" numFmtId="0">
      <sharedItems count="15">
        <s v="Accueil, organisation et qualité des informations délivrées"/>
        <s v="Informations après l'inscription"/>
        <s v="Accueil à l'arrivée sur site"/>
        <s v="Prise en compte de vos besoins et attentes"/>
        <s v="Qualité des animations"/>
        <s v="Logique d'enchainement des interventions"/>
        <s v="Qualité des supports de cours utilisés"/>
        <s v="Qualité des moyens pédagogique"/>
        <s v="Satisfaction globale"/>
        <s v="Avez-vous d'autres besoins de formation ?"/>
        <s v="Comment avez-vous connu cette formation ?"/>
        <s v="Recommanderiez-vous cette formation ?"/>
        <s v="Conseils et orientation avant l'inscription"/>
        <s v="Accès aux outils digitaux"/>
        <s v="Commentaires, remarques, suggestions"/>
      </sharedItems>
    </cacheField>
    <cacheField name="Note" numFmtId="165">
      <sharedItems containsString="0" containsBlank="1" containsNumber="1" containsInteger="1" minValue="0" maxValue="5"/>
    </cacheField>
    <cacheField name="Commentair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0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1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2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3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4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5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6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7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8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9"/>
    <n v="0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10"/>
    <m/>
    <s v="Ancien apprenant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38"/>
    <x v="0"/>
    <s v="Cegelec CEM"/>
    <x v="11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0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12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1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2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3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4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5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6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7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13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8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9"/>
    <n v="0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10"/>
    <m/>
    <s v="Ancien apprenant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01"/>
    <x v="1"/>
    <s v="Cegelec CEM"/>
    <x v="11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0"/>
    <n v="3"/>
    <s v="Formation fermée plus tôt et un seul encadrant sur deux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12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1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2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3"/>
    <n v="1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4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5"/>
    <n v="2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6"/>
    <n v="2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7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8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9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10"/>
    <m/>
    <s v="Ancien apprenant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2"/>
    <s v="Cegelec CEM"/>
    <x v="11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0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12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1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2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3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4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5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6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7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13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8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9"/>
    <n v="0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10"/>
    <m/>
    <s v="Service formation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48"/>
    <x v="3"/>
    <s v="Cegelec CEM"/>
    <x v="11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0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12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1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2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3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4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5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6"/>
    <n v="2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7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13"/>
    <n v="3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8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9"/>
    <n v="0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10"/>
    <m/>
    <s v="Service formation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8:53"/>
    <x v="4"/>
    <s v="Cegelec CEM"/>
    <x v="11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0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12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1"/>
    <n v="4"/>
    <s v="Il aurait fallu approndir un peu plus sur les opérations de maintenance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2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3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4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5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6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7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13"/>
    <n v="0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8"/>
    <n v="5"/>
    <s v="Ancien apprenant"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11"/>
    <n v="5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9"/>
    <n v="4"/>
    <m/>
  </r>
  <r>
    <s v="S-17606-FC25-22B-VTE-CAR"/>
    <s v="Télémanipulation à l'attention de concepteurs"/>
    <s v="22B"/>
    <s v="17606"/>
    <x v="0"/>
    <s v="FC"/>
    <x v="0"/>
    <x v="0"/>
    <n v="7"/>
    <s v="\\instnt\partage\FORMATIONS_C\22B\P07-bilan-sessions-et-bilan-formation\rapports-sessions-CSV-evaluations\S-17606 - 22B - 06-2025\S-17606-FC25-22B-VTE-CAR-Stagiaires.csv"/>
    <s v="20/06/2025 16:39:38"/>
    <x v="5"/>
    <s v="Cegelec CEM"/>
    <x v="14"/>
    <n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eau croisé dynamique2" cacheId="3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 rowHeaderCaption="NOM Prénom" colHeaderCaption="Critères">
  <location ref="B36:P44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3"/>
        <item x="5"/>
        <item x="4"/>
        <item x="0"/>
        <item x="1"/>
        <item t="default"/>
      </items>
    </pivotField>
    <pivotField showAll="0"/>
    <pivotField axis="axisCol" showAll="0">
      <items count="16">
        <item x="8"/>
        <item x="11"/>
        <item x="3"/>
        <item x="5"/>
        <item x="7"/>
        <item x="13"/>
        <item x="4"/>
        <item x="6"/>
        <item x="0"/>
        <item x="12"/>
        <item x="1"/>
        <item x="2"/>
        <item x="9"/>
        <item h="1" x="10"/>
        <item h="1" x="14"/>
        <item t="default"/>
      </items>
    </pivotField>
    <pivotField dataField="1"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 " fld="14" subtotal="average" baseField="1" baseItem="0" numFmtId="164"/>
  </dataFields>
  <formats count="25">
    <format dxfId="54">
      <pivotArea dataOnly="0" labelOnly="1" fieldPosition="0">
        <references count="1">
          <reference field="13" count="0"/>
        </references>
      </pivotArea>
    </format>
    <format dxfId="53">
      <pivotArea dataOnly="0" labelOnly="1" grandCol="1" outline="0" fieldPosition="0"/>
    </format>
    <format dxfId="52">
      <pivotArea dataOnly="0" labelOnly="1" fieldPosition="0">
        <references count="1">
          <reference field="13" count="0"/>
        </references>
      </pivotArea>
    </format>
    <format dxfId="51">
      <pivotArea dataOnly="0" labelOnly="1" grandCol="1" outline="0" fieldPosition="0"/>
    </format>
    <format dxfId="50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49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48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47">
      <pivotArea dataOnly="0" labelOnly="1" fieldPosition="0">
        <references count="1">
          <reference field="13" count="1">
            <x v="12"/>
          </reference>
        </references>
      </pivotArea>
    </format>
    <format dxfId="46">
      <pivotArea outline="0" collapsedLevelsAreSubtotals="1" fieldPosition="0">
        <references count="1">
          <reference field="13" count="2" selected="0">
            <x v="0"/>
            <x v="1"/>
          </reference>
        </references>
      </pivotArea>
    </format>
    <format dxfId="45">
      <pivotArea field="13" type="button" dataOnly="0" labelOnly="1" outline="0" axis="axisCol" fieldPosition="0"/>
    </format>
    <format dxfId="44">
      <pivotArea type="topRight" dataOnly="0" labelOnly="1" outline="0" offset="A1" fieldPosition="0"/>
    </format>
    <format dxfId="43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42">
      <pivotArea outline="0" collapsedLevelsAreSubtotals="1" fieldPosition="0">
        <references count="1">
          <reference field="13" count="4" selected="0">
            <x v="2"/>
            <x v="3"/>
            <x v="4"/>
            <x v="5"/>
          </reference>
        </references>
      </pivotArea>
    </format>
    <format dxfId="41">
      <pivotArea type="topRight" dataOnly="0" labelOnly="1" outline="0" offset="B1:E1" fieldPosition="0"/>
    </format>
    <format dxfId="40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39">
      <pivotArea outline="0" collapsedLevelsAreSubtotals="1" fieldPosition="0">
        <references count="1">
          <reference field="13" count="2" selected="0">
            <x v="6"/>
            <x v="7"/>
          </reference>
        </references>
      </pivotArea>
    </format>
    <format dxfId="38">
      <pivotArea type="topRight" dataOnly="0" labelOnly="1" outline="0" offset="F1:G1" fieldPosition="0"/>
    </format>
    <format dxfId="37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36">
      <pivotArea outline="0" collapsedLevelsAreSubtotals="1" fieldPosition="0">
        <references count="1">
          <reference field="13" count="4" selected="0">
            <x v="8"/>
            <x v="9"/>
            <x v="10"/>
            <x v="11"/>
          </reference>
        </references>
      </pivotArea>
    </format>
    <format dxfId="35">
      <pivotArea type="topRight" dataOnly="0" labelOnly="1" outline="0" offset="H1:K1" fieldPosition="0"/>
    </format>
    <format dxfId="34">
      <pivotArea dataOnly="0" labelOnly="1" fieldPosition="0">
        <references count="1">
          <reference field="13" count="4">
            <x v="8"/>
            <x v="9"/>
            <x v="10"/>
            <x v="11"/>
          </reference>
        </references>
      </pivotArea>
    </format>
    <format dxfId="33">
      <pivotArea outline="0" collapsedLevelsAreSubtotals="1" fieldPosition="0">
        <references count="1">
          <reference field="13" count="1" selected="0">
            <x v="12"/>
          </reference>
        </references>
      </pivotArea>
    </format>
    <format dxfId="32">
      <pivotArea type="topRight" dataOnly="0" labelOnly="1" outline="0" offset="L1" fieldPosition="0"/>
    </format>
    <format dxfId="31">
      <pivotArea dataOnly="0" labelOnly="1" fieldPosition="0">
        <references count="1">
          <reference field="13" count="1">
            <x v="12"/>
          </reference>
        </references>
      </pivotArea>
    </format>
    <format dxfId="30">
      <pivotArea field="11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3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 rowHeaderCaption="Critères">
  <location ref="B11:C2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8"/>
        <item x="11"/>
        <item x="3"/>
        <item x="5"/>
        <item x="7"/>
        <item x="13"/>
        <item x="4"/>
        <item x="6"/>
        <item h="1" x="10"/>
        <item x="0"/>
        <item x="12"/>
        <item x="1"/>
        <item x="2"/>
        <item x="9"/>
        <item h="1" x="14"/>
        <item t="default"/>
      </items>
    </pivotField>
    <pivotField dataField="1" showAll="0"/>
    <pivotField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Note moyenne" fld="14" subtotal="average" baseField="1" baseItem="0" numFmtId="164"/>
  </dataFields>
  <formats count="15">
    <format dxfId="69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68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67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66">
      <pivotArea dataOnly="0" labelOnly="1" fieldPosition="0">
        <references count="1">
          <reference field="13" count="4">
            <x v="9"/>
            <x v="10"/>
            <x v="11"/>
            <x v="12"/>
          </reference>
        </references>
      </pivotArea>
    </format>
    <format dxfId="65">
      <pivotArea dataOnly="0" labelOnly="1" fieldPosition="0">
        <references count="1">
          <reference field="13" count="1">
            <x v="13"/>
          </reference>
        </references>
      </pivotArea>
    </format>
    <format dxfId="64">
      <pivotArea collapsedLevelsAreSubtotals="1" fieldPosition="0">
        <references count="1">
          <reference field="13" count="2">
            <x v="0"/>
            <x v="1"/>
          </reference>
        </references>
      </pivotArea>
    </format>
    <format dxfId="63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62">
      <pivotArea collapsedLevelsAreSubtotals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61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60">
      <pivotArea collapsedLevelsAreSubtotals="1" fieldPosition="0">
        <references count="1">
          <reference field="13" count="2">
            <x v="6"/>
            <x v="7"/>
          </reference>
        </references>
      </pivotArea>
    </format>
    <format dxfId="59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58">
      <pivotArea collapsedLevelsAreSubtotals="1" fieldPosition="0">
        <references count="1">
          <reference field="13" count="4">
            <x v="9"/>
            <x v="10"/>
            <x v="11"/>
            <x v="12"/>
          </reference>
        </references>
      </pivotArea>
    </format>
    <format dxfId="57">
      <pivotArea dataOnly="0" labelOnly="1" fieldPosition="0">
        <references count="1">
          <reference field="13" count="4">
            <x v="9"/>
            <x v="10"/>
            <x v="11"/>
            <x v="12"/>
          </reference>
        </references>
      </pivotArea>
    </format>
    <format dxfId="56">
      <pivotArea collapsedLevelsAreSubtotals="1" fieldPosition="0">
        <references count="1">
          <reference field="13" count="1">
            <x v="13"/>
          </reference>
        </references>
      </pivotArea>
    </format>
    <format dxfId="55">
      <pivotArea dataOnly="0" labelOnly="1" fieldPosition="0">
        <references count="1">
          <reference field="13" count="1">
            <x v="13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iaires" displayName="Stagiaires" ref="A2:P3" totalsRowShown="0">
  <autoFilter ref="A2:P3" xr:uid="{00000000-0009-0000-0100-000001000000}"/>
  <tableColumns count="16">
    <tableColumn id="5" xr3:uid="{00000000-0010-0000-0000-000005000000}" name="N° Session"/>
    <tableColumn id="17" xr3:uid="{00000000-0010-0000-0000-000011000000}" name="Formation"/>
    <tableColumn id="10" xr3:uid="{00000000-0010-0000-0000-00000A000000}" name="Trigramme formation"/>
    <tableColumn id="6" xr3:uid="{00000000-0010-0000-0000-000006000000}" name="Code IRIS"/>
    <tableColumn id="20" xr3:uid="{00000000-0010-0000-0000-000014000000}" name="Année"/>
    <tableColumn id="11" xr3:uid="{00000000-0010-0000-0000-00000B000000}" name="Type de formation"/>
    <tableColumn id="12" xr3:uid="{00000000-0010-0000-0000-00000C000000}" name="Trigramme RP"/>
    <tableColumn id="13" xr3:uid="{00000000-0010-0000-0000-00000D000000}" name="Trigramme AF"/>
    <tableColumn id="19" xr3:uid="{00000000-0010-0000-0000-000013000000}" name="Nb présents"/>
    <tableColumn id="18" xr3:uid="{00000000-0010-0000-0000-000012000000}" name="Chemin fichier CSV" dataDxfId="76"/>
    <tableColumn id="7" xr3:uid="{00000000-0010-0000-0000-000007000000}" name="Date" dataDxfId="75"/>
    <tableColumn id="1" xr3:uid="{00000000-0010-0000-0000-000001000000}" name="NOM Prénom" dataDxfId="74"/>
    <tableColumn id="14" xr3:uid="{00000000-0010-0000-0000-00000E000000}" name="Entreprise" dataDxfId="73"/>
    <tableColumn id="2" xr3:uid="{00000000-0010-0000-0000-000002000000}" name="Critère" dataDxfId="72"/>
    <tableColumn id="3" xr3:uid="{00000000-0010-0000-0000-000003000000}" name="Note" dataDxfId="71"/>
    <tableColumn id="4" xr3:uid="{00000000-0010-0000-0000-000004000000}" name="Commentaires" dataDxfId="70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V_stagiaires" displayName="CSV_stagiaires" ref="A1:AG2" headerRowDxfId="29">
  <autoFilter ref="A1:AG2" xr:uid="{00000000-0009-0000-0100-000002000000}"/>
  <tableColumns count="33">
    <tableColumn id="38" xr3:uid="{00000000-0010-0000-0100-000026000000}" name="Chemin fichier CSV"/>
    <tableColumn id="1" xr3:uid="{00000000-0010-0000-0100-000001000000}" name="Date" totalsRowLabel="Total" dataDxfId="28"/>
    <tableColumn id="2" xr3:uid="{00000000-0010-0000-0100-000002000000}" name="Prénom"/>
    <tableColumn id="3" xr3:uid="{00000000-0010-0000-0100-000003000000}" name="Nom"/>
    <tableColumn id="6" xr3:uid="{00000000-0010-0000-0100-000006000000}" name="Entreprise"/>
    <tableColumn id="7" xr3:uid="{00000000-0010-0000-0100-000007000000}" name="Code session"/>
    <tableColumn id="8" xr3:uid="{00000000-0010-0000-0100-000008000000}" name="Comment avez-vous connu cette formation ?"/>
    <tableColumn id="9" xr3:uid="{00000000-0010-0000-0100-000009000000}" name="Accueil, organisation et qualité des informations délivrées" totalsRowFunction="average" totalsRowDxfId="27"/>
    <tableColumn id="10" xr3:uid="{00000000-0010-0000-0100-00000A000000}" name="Commentaires" totalsRowDxfId="26"/>
    <tableColumn id="11" xr3:uid="{00000000-0010-0000-0100-00000B000000}" name="Conseils et orientation avant l'inscription" totalsRowFunction="average" totalsRowDxfId="25"/>
    <tableColumn id="12" xr3:uid="{00000000-0010-0000-0100-00000C000000}" name="Commentaires3" totalsRowDxfId="24"/>
    <tableColumn id="13" xr3:uid="{00000000-0010-0000-0100-00000D000000}" name="Informations après l'inscription" totalsRowFunction="average" totalsRowDxfId="23"/>
    <tableColumn id="14" xr3:uid="{00000000-0010-0000-0100-00000E000000}" name="Commentaires4" totalsRowDxfId="22"/>
    <tableColumn id="15" xr3:uid="{00000000-0010-0000-0100-00000F000000}" name="Accueil à l'arrivée sur site" totalsRowFunction="average" totalsRowDxfId="21"/>
    <tableColumn id="16" xr3:uid="{00000000-0010-0000-0100-000010000000}" name="Commentaires5" totalsRowDxfId="20"/>
    <tableColumn id="17" xr3:uid="{00000000-0010-0000-0100-000011000000}" name="Prise en compte de vos besoins et attentes" totalsRowFunction="average" totalsRowDxfId="19"/>
    <tableColumn id="18" xr3:uid="{00000000-0010-0000-0100-000012000000}" name="Commentaires6" totalsRowDxfId="18"/>
    <tableColumn id="19" xr3:uid="{00000000-0010-0000-0100-000013000000}" name="Qualité des animations" totalsRowFunction="average" totalsRowDxfId="17"/>
    <tableColumn id="20" xr3:uid="{00000000-0010-0000-0100-000014000000}" name="Commentaires7" totalsRowDxfId="16"/>
    <tableColumn id="21" xr3:uid="{00000000-0010-0000-0100-000015000000}" name="Logique d'enchainement des interventions" totalsRowFunction="average" totalsRowDxfId="15"/>
    <tableColumn id="22" xr3:uid="{00000000-0010-0000-0100-000016000000}" name="Commentaires8" totalsRowDxfId="14"/>
    <tableColumn id="23" xr3:uid="{00000000-0010-0000-0100-000017000000}" name="Qualité des supports de cours utilisés" totalsRowFunction="average" totalsRowDxfId="13"/>
    <tableColumn id="24" xr3:uid="{00000000-0010-0000-0100-000018000000}" name="Commentaires9" totalsRowDxfId="12"/>
    <tableColumn id="25" xr3:uid="{00000000-0010-0000-0100-000019000000}" name="Qualité des moyens pédagogique" totalsRowFunction="average" totalsRowDxfId="11"/>
    <tableColumn id="26" xr3:uid="{00000000-0010-0000-0100-00001A000000}" name="Commentaires10" totalsRowDxfId="10"/>
    <tableColumn id="27" xr3:uid="{00000000-0010-0000-0100-00001B000000}" name="Accès aux outils digitaux" totalsRowFunction="average" totalsRowDxfId="9"/>
    <tableColumn id="28" xr3:uid="{00000000-0010-0000-0100-00001C000000}" name="Commentaires11" totalsRowDxfId="8"/>
    <tableColumn id="29" xr3:uid="{00000000-0010-0000-0100-00001D000000}" name="Satisfaction globale" totalsRowFunction="average" dataDxfId="7" totalsRowDxfId="6"/>
    <tableColumn id="30" xr3:uid="{00000000-0010-0000-0100-00001E000000}" name="Commentaires12" totalsRowDxfId="5"/>
    <tableColumn id="31" xr3:uid="{00000000-0010-0000-0100-00001F000000}" name="Recommanderiez-vous cette formation ?" totalsRowFunction="custom" totalsRowDxfId="4">
      <totalsRowFormula>COUNTIFS(CSV_stagiaires[Recommanderiez-vous cette formation ?],"Oui")/COUNTA(CSV_stagiaires[Recommanderiez-vous cette formation ?])</totalsRowFormula>
    </tableColumn>
    <tableColumn id="32" xr3:uid="{00000000-0010-0000-0100-000020000000}" name="Avez-vous d'autres besoins de formation ?" totalsRowFunction="custom" totalsRowDxfId="3">
      <totalsRowFormula>COUNTIFS(CSV_stagiaires[Avez-vous d''autres besoins de formation ?],"Oui")/COUNTA(CSV_stagiaires[Avez-vous d''autres besoins de formation ?])</totalsRowFormula>
    </tableColumn>
    <tableColumn id="33" xr3:uid="{00000000-0010-0000-0100-000021000000}" name="Lesquels ?" totalsRowDxfId="2"/>
    <tableColumn id="34" xr3:uid="{00000000-0010-0000-0100-000022000000}" name="Commentaires, remarques, suggestions" dataDxfId="1" totalsRowDxfId="0"/>
  </tableColumns>
  <tableStyleInfo name="TableStyleMedium1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tères" displayName="Critères" ref="A1:A15" totalsRowShown="0">
  <autoFilter ref="A1:A15" xr:uid="{00000000-0009-0000-0100-000003000000}"/>
  <tableColumns count="1">
    <tableColumn id="1" xr3:uid="{00000000-0010-0000-0200-000001000000}" name="Critère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3"/>
  <sheetViews>
    <sheetView tabSelected="1" zoomScale="85" zoomScaleNormal="85" workbookViewId="0">
      <selection activeCell="F10" sqref="F10"/>
    </sheetView>
  </sheetViews>
  <sheetFormatPr baseColWidth="10" defaultRowHeight="15" x14ac:dyDescent="0.25"/>
  <cols>
    <col min="1" max="1" width="31.28515625" style="10" customWidth="1"/>
    <col min="2" max="2" width="53.5703125" style="10" customWidth="1"/>
    <col min="3" max="3" width="10.7109375" style="10" customWidth="1"/>
    <col min="4" max="4" width="11.5703125" style="10" bestFit="1" customWidth="1"/>
    <col min="5" max="5" width="9.140625" style="10" bestFit="1" customWidth="1"/>
    <col min="6" max="6" width="7.5703125" style="10" customWidth="1"/>
    <col min="8" max="8" width="14" style="10" customWidth="1"/>
    <col min="9" max="9" width="8.5703125" style="10" customWidth="1"/>
    <col min="10" max="10" width="16" style="10" bestFit="1" customWidth="1"/>
    <col min="11" max="11" width="18.5703125" bestFit="1" customWidth="1"/>
    <col min="12" max="13" width="36.85546875" style="10" customWidth="1"/>
    <col min="14" max="14" width="56.7109375" style="10" bestFit="1" customWidth="1"/>
    <col min="15" max="15" width="9.5703125" style="10" customWidth="1"/>
    <col min="16" max="16" width="56.140625" style="10" customWidth="1"/>
  </cols>
  <sheetData>
    <row r="1" spans="1:16" ht="15.7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 t="s">
        <v>1</v>
      </c>
      <c r="K1" s="51"/>
      <c r="L1" s="51"/>
      <c r="M1" s="51"/>
      <c r="N1" s="51"/>
      <c r="O1" s="51"/>
      <c r="P1" s="51"/>
    </row>
    <row r="2" spans="1:16" x14ac:dyDescent="0.25">
      <c r="A2" t="s">
        <v>2</v>
      </c>
      <c r="B2" t="s">
        <v>3</v>
      </c>
      <c r="C2" t="s">
        <v>4</v>
      </c>
      <c r="D2" t="s">
        <v>60</v>
      </c>
      <c r="E2" t="s">
        <v>5</v>
      </c>
      <c r="F2" t="s">
        <v>6</v>
      </c>
      <c r="G2" t="s">
        <v>61</v>
      </c>
      <c r="H2" t="s">
        <v>62</v>
      </c>
      <c r="I2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</row>
    <row r="3" spans="1:16" x14ac:dyDescent="0.25">
      <c r="A3"/>
      <c r="B3"/>
      <c r="C3"/>
      <c r="D3"/>
      <c r="E3"/>
      <c r="F3"/>
      <c r="H3"/>
      <c r="I3"/>
      <c r="J3" s="7"/>
      <c r="K3" s="8"/>
      <c r="L3" s="7"/>
      <c r="M3" s="7"/>
      <c r="N3" s="7"/>
      <c r="O3" s="9"/>
      <c r="P3" s="7"/>
    </row>
  </sheetData>
  <mergeCells count="2">
    <mergeCell ref="A1:I1"/>
    <mergeCell ref="J1:P1"/>
  </mergeCells>
  <conditionalFormatting sqref="O3:O4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0:Q44"/>
  <sheetViews>
    <sheetView zoomScale="85" zoomScaleNormal="85" workbookViewId="0">
      <selection activeCell="B41" sqref="B41"/>
    </sheetView>
  </sheetViews>
  <sheetFormatPr baseColWidth="10" defaultRowHeight="15" outlineLevelRow="1" x14ac:dyDescent="0.25"/>
  <cols>
    <col min="1" max="1" width="13.5703125" style="12" customWidth="1"/>
    <col min="2" max="2" width="53.7109375" style="10" bestFit="1" customWidth="1"/>
    <col min="3" max="16" width="14.5703125" style="10" customWidth="1"/>
    <col min="17" max="17" width="13.42578125" style="10" customWidth="1"/>
  </cols>
  <sheetData>
    <row r="10" spans="1:3" ht="15.75" thickBot="1" x14ac:dyDescent="0.3"/>
    <row r="11" spans="1:3" ht="15.75" thickBot="1" x14ac:dyDescent="0.3">
      <c r="A11" s="25" t="s">
        <v>56</v>
      </c>
      <c r="B11" s="4" t="s">
        <v>51</v>
      </c>
      <c r="C11" t="s">
        <v>57</v>
      </c>
    </row>
    <row r="12" spans="1:3" x14ac:dyDescent="0.25">
      <c r="A12" s="58" t="s">
        <v>59</v>
      </c>
      <c r="B12" s="13" t="s">
        <v>24</v>
      </c>
      <c r="C12" s="14">
        <v>4.166666666666667</v>
      </c>
    </row>
    <row r="13" spans="1:3" ht="15.75" thickBot="1" x14ac:dyDescent="0.3">
      <c r="A13" s="59"/>
      <c r="B13" s="15" t="s">
        <v>27</v>
      </c>
      <c r="C13" s="16">
        <v>5</v>
      </c>
    </row>
    <row r="14" spans="1:3" x14ac:dyDescent="0.25">
      <c r="A14" s="60" t="s">
        <v>52</v>
      </c>
      <c r="B14" s="17" t="s">
        <v>19</v>
      </c>
      <c r="C14" s="18">
        <v>3.1666666666666665</v>
      </c>
    </row>
    <row r="15" spans="1:3" x14ac:dyDescent="0.25">
      <c r="A15" s="61"/>
      <c r="B15" s="17" t="s">
        <v>21</v>
      </c>
      <c r="C15" s="18">
        <v>3.6666666666666665</v>
      </c>
    </row>
    <row r="16" spans="1:3" x14ac:dyDescent="0.25">
      <c r="A16" s="61"/>
      <c r="B16" s="17" t="s">
        <v>23</v>
      </c>
      <c r="C16" s="18">
        <v>4.166666666666667</v>
      </c>
    </row>
    <row r="17" spans="1:3" ht="15.75" thickBot="1" x14ac:dyDescent="0.3">
      <c r="A17" s="62"/>
      <c r="B17" s="19" t="s">
        <v>30</v>
      </c>
      <c r="C17" s="16">
        <v>2.5</v>
      </c>
    </row>
    <row r="18" spans="1:3" x14ac:dyDescent="0.25">
      <c r="A18" s="63" t="s">
        <v>53</v>
      </c>
      <c r="B18" s="26" t="s">
        <v>20</v>
      </c>
      <c r="C18" s="18">
        <v>3.8333333333333335</v>
      </c>
    </row>
    <row r="19" spans="1:3" ht="15.75" thickBot="1" x14ac:dyDescent="0.3">
      <c r="A19" s="64"/>
      <c r="B19" s="20" t="s">
        <v>22</v>
      </c>
      <c r="C19" s="16">
        <v>3.1666666666666665</v>
      </c>
    </row>
    <row r="20" spans="1:3" x14ac:dyDescent="0.25">
      <c r="A20" s="65" t="s">
        <v>54</v>
      </c>
      <c r="B20" s="21" t="s">
        <v>16</v>
      </c>
      <c r="C20" s="18">
        <v>4</v>
      </c>
    </row>
    <row r="21" spans="1:3" x14ac:dyDescent="0.25">
      <c r="A21" s="66"/>
      <c r="B21" s="21" t="s">
        <v>29</v>
      </c>
      <c r="C21" s="18">
        <v>4.2</v>
      </c>
    </row>
    <row r="22" spans="1:3" x14ac:dyDescent="0.25">
      <c r="A22" s="66"/>
      <c r="B22" s="21" t="s">
        <v>17</v>
      </c>
      <c r="C22" s="18">
        <v>3.6666666666666665</v>
      </c>
    </row>
    <row r="23" spans="1:3" ht="15.75" thickBot="1" x14ac:dyDescent="0.3">
      <c r="A23" s="67"/>
      <c r="B23" s="22" t="s">
        <v>18</v>
      </c>
      <c r="C23" s="16">
        <v>4.333333333333333</v>
      </c>
    </row>
    <row r="24" spans="1:3" ht="15.75" thickBot="1" x14ac:dyDescent="0.3">
      <c r="A24" s="23" t="s">
        <v>55</v>
      </c>
      <c r="B24" s="27" t="s">
        <v>25</v>
      </c>
      <c r="C24" s="16">
        <v>1.5</v>
      </c>
    </row>
    <row r="25" spans="1:3" ht="15.75" thickBot="1" x14ac:dyDescent="0.3">
      <c r="A25" s="24"/>
      <c r="B25" s="5" t="s">
        <v>35</v>
      </c>
      <c r="C25" s="3">
        <v>3.6666666666666665</v>
      </c>
    </row>
    <row r="26" spans="1:3" x14ac:dyDescent="0.25">
      <c r="B26"/>
      <c r="C26"/>
    </row>
    <row r="27" spans="1:3" x14ac:dyDescent="0.25">
      <c r="B27"/>
      <c r="C27"/>
    </row>
    <row r="28" spans="1:3" x14ac:dyDescent="0.25">
      <c r="B28"/>
      <c r="C28"/>
    </row>
    <row r="29" spans="1:3" x14ac:dyDescent="0.25">
      <c r="B29"/>
      <c r="C29"/>
    </row>
    <row r="30" spans="1:3" x14ac:dyDescent="0.25">
      <c r="B30"/>
      <c r="C30"/>
    </row>
    <row r="31" spans="1:3" x14ac:dyDescent="0.25">
      <c r="B31"/>
      <c r="C31"/>
    </row>
    <row r="35" spans="2:17" ht="15.75" x14ac:dyDescent="0.25">
      <c r="C35" s="68" t="s">
        <v>59</v>
      </c>
      <c r="D35" s="69"/>
      <c r="E35" s="70" t="s">
        <v>52</v>
      </c>
      <c r="F35" s="71"/>
      <c r="G35" s="71"/>
      <c r="H35" s="72"/>
      <c r="I35" s="53" t="s">
        <v>53</v>
      </c>
      <c r="J35" s="54"/>
      <c r="K35" s="55" t="s">
        <v>54</v>
      </c>
      <c r="L35" s="56"/>
      <c r="M35" s="56"/>
      <c r="N35" s="57"/>
      <c r="O35" s="45" t="s">
        <v>55</v>
      </c>
      <c r="P35" s="28"/>
    </row>
    <row r="36" spans="2:17" hidden="1" outlineLevel="1" x14ac:dyDescent="0.25">
      <c r="B36" s="4" t="s">
        <v>58</v>
      </c>
      <c r="C36" s="29" t="s">
        <v>51</v>
      </c>
      <c r="D36" s="30"/>
      <c r="E36" s="35"/>
      <c r="F36" s="36"/>
      <c r="G36" s="36"/>
      <c r="H36" s="30"/>
      <c r="I36" s="35"/>
      <c r="J36" s="30"/>
      <c r="K36" s="35"/>
      <c r="L36" s="36"/>
      <c r="M36" s="36"/>
      <c r="N36" s="30"/>
      <c r="O36" s="46"/>
      <c r="P36"/>
      <c r="Q36"/>
    </row>
    <row r="37" spans="2:17" ht="75" collapsed="1" x14ac:dyDescent="0.25">
      <c r="B37" s="49" t="s">
        <v>10</v>
      </c>
      <c r="C37" s="31" t="s">
        <v>24</v>
      </c>
      <c r="D37" s="32" t="s">
        <v>27</v>
      </c>
      <c r="E37" s="37" t="s">
        <v>19</v>
      </c>
      <c r="F37" s="38" t="s">
        <v>21</v>
      </c>
      <c r="G37" s="38" t="s">
        <v>23</v>
      </c>
      <c r="H37" s="39" t="s">
        <v>30</v>
      </c>
      <c r="I37" s="40" t="s">
        <v>20</v>
      </c>
      <c r="J37" s="41" t="s">
        <v>22</v>
      </c>
      <c r="K37" s="42" t="s">
        <v>16</v>
      </c>
      <c r="L37" s="43" t="s">
        <v>29</v>
      </c>
      <c r="M37" s="43" t="s">
        <v>17</v>
      </c>
      <c r="N37" s="44" t="s">
        <v>18</v>
      </c>
      <c r="O37" s="47" t="s">
        <v>25</v>
      </c>
      <c r="P37" s="1" t="s">
        <v>35</v>
      </c>
      <c r="Q37"/>
    </row>
    <row r="38" spans="2:17" x14ac:dyDescent="0.25">
      <c r="B38" s="5" t="s">
        <v>31</v>
      </c>
      <c r="C38" s="33">
        <v>3</v>
      </c>
      <c r="D38" s="34">
        <v>5</v>
      </c>
      <c r="E38" s="33">
        <v>1</v>
      </c>
      <c r="F38" s="18">
        <v>2</v>
      </c>
      <c r="G38" s="18">
        <v>5</v>
      </c>
      <c r="H38" s="34"/>
      <c r="I38" s="33">
        <v>4</v>
      </c>
      <c r="J38" s="34">
        <v>2</v>
      </c>
      <c r="K38" s="33">
        <v>3</v>
      </c>
      <c r="L38" s="18">
        <v>5</v>
      </c>
      <c r="M38" s="18">
        <v>4</v>
      </c>
      <c r="N38" s="34">
        <v>5</v>
      </c>
      <c r="O38" s="48">
        <v>5</v>
      </c>
      <c r="P38" s="3">
        <v>3.6666666666666665</v>
      </c>
      <c r="Q38"/>
    </row>
    <row r="39" spans="2:17" x14ac:dyDescent="0.25">
      <c r="B39" s="5" t="s">
        <v>32</v>
      </c>
      <c r="C39" s="33">
        <v>4</v>
      </c>
      <c r="D39" s="34">
        <v>5</v>
      </c>
      <c r="E39" s="33">
        <v>3</v>
      </c>
      <c r="F39" s="18">
        <v>4</v>
      </c>
      <c r="G39" s="18">
        <v>4</v>
      </c>
      <c r="H39" s="34">
        <v>3</v>
      </c>
      <c r="I39" s="33">
        <v>3</v>
      </c>
      <c r="J39" s="34">
        <v>3</v>
      </c>
      <c r="K39" s="33">
        <v>4</v>
      </c>
      <c r="L39" s="18">
        <v>4</v>
      </c>
      <c r="M39" s="18">
        <v>3</v>
      </c>
      <c r="N39" s="34">
        <v>4</v>
      </c>
      <c r="O39" s="48">
        <v>0</v>
      </c>
      <c r="P39" s="3">
        <v>3.3846153846153846</v>
      </c>
      <c r="Q39"/>
    </row>
    <row r="40" spans="2:17" x14ac:dyDescent="0.25">
      <c r="B40" s="5" t="s">
        <v>34</v>
      </c>
      <c r="C40" s="33">
        <v>5</v>
      </c>
      <c r="D40" s="34">
        <v>5</v>
      </c>
      <c r="E40" s="33">
        <v>4</v>
      </c>
      <c r="F40" s="18">
        <v>4</v>
      </c>
      <c r="G40" s="18">
        <v>4</v>
      </c>
      <c r="H40" s="34">
        <v>0</v>
      </c>
      <c r="I40" s="33">
        <v>4</v>
      </c>
      <c r="J40" s="34">
        <v>4</v>
      </c>
      <c r="K40" s="33">
        <v>5</v>
      </c>
      <c r="L40" s="18">
        <v>5</v>
      </c>
      <c r="M40" s="18">
        <v>4</v>
      </c>
      <c r="N40" s="34">
        <v>4</v>
      </c>
      <c r="O40" s="48">
        <v>4</v>
      </c>
      <c r="P40" s="3">
        <v>4</v>
      </c>
      <c r="Q40"/>
    </row>
    <row r="41" spans="2:17" x14ac:dyDescent="0.25">
      <c r="B41" s="5" t="s">
        <v>33</v>
      </c>
      <c r="C41" s="33">
        <v>4</v>
      </c>
      <c r="D41" s="34">
        <v>5</v>
      </c>
      <c r="E41" s="33">
        <v>3</v>
      </c>
      <c r="F41" s="18">
        <v>3</v>
      </c>
      <c r="G41" s="18">
        <v>3</v>
      </c>
      <c r="H41" s="34">
        <v>3</v>
      </c>
      <c r="I41" s="33">
        <v>4</v>
      </c>
      <c r="J41" s="34">
        <v>2</v>
      </c>
      <c r="K41" s="33">
        <v>3</v>
      </c>
      <c r="L41" s="18">
        <v>3</v>
      </c>
      <c r="M41" s="18">
        <v>3</v>
      </c>
      <c r="N41" s="34">
        <v>4</v>
      </c>
      <c r="O41" s="48">
        <v>0</v>
      </c>
      <c r="P41" s="3">
        <v>3.0769230769230771</v>
      </c>
      <c r="Q41"/>
    </row>
    <row r="42" spans="2:17" x14ac:dyDescent="0.25">
      <c r="B42" s="5" t="s">
        <v>15</v>
      </c>
      <c r="C42" s="33">
        <v>5</v>
      </c>
      <c r="D42" s="34">
        <v>5</v>
      </c>
      <c r="E42" s="33">
        <v>4</v>
      </c>
      <c r="F42" s="18">
        <v>5</v>
      </c>
      <c r="G42" s="18">
        <v>5</v>
      </c>
      <c r="H42" s="34"/>
      <c r="I42" s="33">
        <v>4</v>
      </c>
      <c r="J42" s="34">
        <v>4</v>
      </c>
      <c r="K42" s="33">
        <v>5</v>
      </c>
      <c r="L42" s="18"/>
      <c r="M42" s="18">
        <v>5</v>
      </c>
      <c r="N42" s="34">
        <v>5</v>
      </c>
      <c r="O42" s="48">
        <v>0</v>
      </c>
      <c r="P42" s="3">
        <v>4.2727272727272725</v>
      </c>
      <c r="Q42"/>
    </row>
    <row r="43" spans="2:17" x14ac:dyDescent="0.25">
      <c r="B43" s="5" t="s">
        <v>28</v>
      </c>
      <c r="C43" s="33">
        <v>4</v>
      </c>
      <c r="D43" s="34">
        <v>5</v>
      </c>
      <c r="E43" s="33">
        <v>4</v>
      </c>
      <c r="F43" s="18">
        <v>4</v>
      </c>
      <c r="G43" s="18">
        <v>4</v>
      </c>
      <c r="H43" s="34">
        <v>4</v>
      </c>
      <c r="I43" s="33">
        <v>4</v>
      </c>
      <c r="J43" s="34">
        <v>4</v>
      </c>
      <c r="K43" s="33">
        <v>4</v>
      </c>
      <c r="L43" s="18">
        <v>4</v>
      </c>
      <c r="M43" s="18">
        <v>3</v>
      </c>
      <c r="N43" s="34">
        <v>4</v>
      </c>
      <c r="O43" s="48">
        <v>0</v>
      </c>
      <c r="P43" s="3">
        <v>3.6923076923076925</v>
      </c>
      <c r="Q43"/>
    </row>
    <row r="44" spans="2:17" x14ac:dyDescent="0.25">
      <c r="B44" s="5" t="s">
        <v>35</v>
      </c>
      <c r="C44" s="33">
        <v>4.166666666666667</v>
      </c>
      <c r="D44" s="34">
        <v>5</v>
      </c>
      <c r="E44" s="33">
        <v>3.1666666666666665</v>
      </c>
      <c r="F44" s="18">
        <v>3.6666666666666665</v>
      </c>
      <c r="G44" s="18">
        <v>4.166666666666667</v>
      </c>
      <c r="H44" s="34">
        <v>2.5</v>
      </c>
      <c r="I44" s="33">
        <v>3.8333333333333335</v>
      </c>
      <c r="J44" s="34">
        <v>3.1666666666666665</v>
      </c>
      <c r="K44" s="33">
        <v>4</v>
      </c>
      <c r="L44" s="18">
        <v>4.2</v>
      </c>
      <c r="M44" s="18">
        <v>3.6666666666666665</v>
      </c>
      <c r="N44" s="34">
        <v>4.333333333333333</v>
      </c>
      <c r="O44" s="48">
        <v>1.5</v>
      </c>
      <c r="P44" s="3">
        <v>3.6666666666666665</v>
      </c>
      <c r="Q44"/>
    </row>
  </sheetData>
  <mergeCells count="8">
    <mergeCell ref="I35:J35"/>
    <mergeCell ref="K35:N35"/>
    <mergeCell ref="A12:A13"/>
    <mergeCell ref="A14:A17"/>
    <mergeCell ref="A18:A19"/>
    <mergeCell ref="A20:A23"/>
    <mergeCell ref="C35:D35"/>
    <mergeCell ref="E35:H35"/>
  </mergeCells>
  <conditionalFormatting sqref="C36">
    <cfRule type="colorScale" priority="4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pivot="1" sqref="C12:C25">
    <cfRule type="colorScale" priority="2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sqref="C38:P200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G2"/>
  <sheetViews>
    <sheetView zoomScale="70" zoomScaleNormal="70" workbookViewId="0">
      <pane xSplit="5" ySplit="1" topLeftCell="I2" activePane="bottomRight" state="frozen"/>
      <selection pane="topRight" activeCell="G1" sqref="G1"/>
      <selection pane="bottomLeft" activeCell="A2" sqref="A2"/>
      <selection pane="bottomRight" activeCell="A3" sqref="A3:XFD7"/>
    </sheetView>
  </sheetViews>
  <sheetFormatPr baseColWidth="10" defaultRowHeight="15" outlineLevelCol="1" x14ac:dyDescent="0.25"/>
  <cols>
    <col min="2" max="2" width="22.28515625" style="10" customWidth="1"/>
    <col min="3" max="4" width="6.5703125" style="10" customWidth="1"/>
    <col min="5" max="5" width="12.28515625" style="10" customWidth="1"/>
    <col min="6" max="6" width="14.7109375" style="10" customWidth="1"/>
    <col min="7" max="7" width="42.7109375" style="10" customWidth="1"/>
    <col min="8" max="8" width="11.7109375" style="10" customWidth="1"/>
    <col min="9" max="9" width="11.7109375" style="10" customWidth="1" outlineLevel="1"/>
    <col min="10" max="10" width="11.7109375" style="10" customWidth="1"/>
    <col min="11" max="11" width="11.7109375" style="10" customWidth="1" outlineLevel="1"/>
    <col min="12" max="12" width="11.7109375" style="10" customWidth="1"/>
    <col min="13" max="13" width="11.7109375" style="10" customWidth="1" outlineLevel="1"/>
    <col min="14" max="14" width="11.7109375" style="10" customWidth="1"/>
    <col min="15" max="15" width="11.7109375" style="10" customWidth="1" outlineLevel="1"/>
    <col min="16" max="16" width="11.7109375" style="10" customWidth="1"/>
    <col min="17" max="17" width="11.7109375" style="10" customWidth="1" outlineLevel="1"/>
    <col min="18" max="18" width="11.7109375" style="10" customWidth="1"/>
    <col min="19" max="19" width="11.7109375" style="10" customWidth="1" outlineLevel="1"/>
    <col min="20" max="20" width="11.7109375" style="10" customWidth="1"/>
    <col min="21" max="21" width="11.7109375" style="10" customWidth="1" outlineLevel="1"/>
    <col min="22" max="22" width="11.7109375" style="10" customWidth="1"/>
    <col min="23" max="23" width="11.7109375" style="10" customWidth="1" outlineLevel="1"/>
    <col min="24" max="24" width="11.7109375" style="10" customWidth="1"/>
    <col min="25" max="25" width="11.7109375" style="10" customWidth="1" outlineLevel="1"/>
    <col min="26" max="26" width="11.7109375" style="10" customWidth="1"/>
    <col min="27" max="27" width="11.7109375" style="10" customWidth="1" outlineLevel="1"/>
    <col min="28" max="28" width="11.7109375" style="10" customWidth="1"/>
    <col min="29" max="29" width="11.7109375" style="10" customWidth="1" outlineLevel="1"/>
    <col min="30" max="31" width="11.7109375" style="10" customWidth="1"/>
    <col min="32" max="32" width="11.7109375" style="10" customWidth="1" outlineLevel="1"/>
    <col min="33" max="33" width="38.5703125" style="10" customWidth="1"/>
  </cols>
  <sheetData>
    <row r="1" spans="1:33" ht="90" customHeight="1" x14ac:dyDescent="0.25">
      <c r="A1" s="1" t="s">
        <v>8</v>
      </c>
      <c r="B1" s="1" t="s">
        <v>9</v>
      </c>
      <c r="C1" s="1" t="s">
        <v>36</v>
      </c>
      <c r="D1" s="1" t="s">
        <v>37</v>
      </c>
      <c r="E1" s="1" t="s">
        <v>11</v>
      </c>
      <c r="F1" s="1" t="s">
        <v>38</v>
      </c>
      <c r="G1" s="1" t="s">
        <v>26</v>
      </c>
      <c r="H1" s="1" t="s">
        <v>16</v>
      </c>
      <c r="I1" s="1" t="s">
        <v>14</v>
      </c>
      <c r="J1" s="1" t="s">
        <v>29</v>
      </c>
      <c r="K1" s="1" t="s">
        <v>39</v>
      </c>
      <c r="L1" s="1" t="s">
        <v>17</v>
      </c>
      <c r="M1" s="1" t="s">
        <v>40</v>
      </c>
      <c r="N1" s="1" t="s">
        <v>18</v>
      </c>
      <c r="O1" s="1" t="s">
        <v>41</v>
      </c>
      <c r="P1" s="1" t="s">
        <v>19</v>
      </c>
      <c r="Q1" s="1" t="s">
        <v>42</v>
      </c>
      <c r="R1" s="1" t="s">
        <v>20</v>
      </c>
      <c r="S1" s="1" t="s">
        <v>43</v>
      </c>
      <c r="T1" s="1" t="s">
        <v>21</v>
      </c>
      <c r="U1" s="1" t="s">
        <v>44</v>
      </c>
      <c r="V1" s="1" t="s">
        <v>22</v>
      </c>
      <c r="W1" s="1" t="s">
        <v>45</v>
      </c>
      <c r="X1" s="1" t="s">
        <v>23</v>
      </c>
      <c r="Y1" s="1" t="s">
        <v>46</v>
      </c>
      <c r="Z1" s="1" t="s">
        <v>30</v>
      </c>
      <c r="AA1" s="1" t="s">
        <v>47</v>
      </c>
      <c r="AB1" s="2" t="s">
        <v>24</v>
      </c>
      <c r="AC1" s="1" t="s">
        <v>48</v>
      </c>
      <c r="AD1" s="1" t="s">
        <v>27</v>
      </c>
      <c r="AE1" s="1" t="s">
        <v>25</v>
      </c>
      <c r="AF1" s="1" t="s">
        <v>49</v>
      </c>
      <c r="AG1" s="1" t="s">
        <v>50</v>
      </c>
    </row>
    <row r="2" spans="1:33" x14ac:dyDescent="0.25">
      <c r="B2" s="11"/>
      <c r="C2"/>
      <c r="D2"/>
      <c r="E2"/>
      <c r="F2"/>
      <c r="G2"/>
      <c r="H2"/>
      <c r="L2"/>
      <c r="N2"/>
      <c r="P2"/>
      <c r="R2"/>
      <c r="T2"/>
      <c r="V2"/>
      <c r="X2"/>
      <c r="AB2"/>
      <c r="AD2"/>
      <c r="AE2"/>
    </row>
  </sheetData>
  <conditionalFormatting sqref="H2:AG3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A15"/>
  <sheetViews>
    <sheetView workbookViewId="0">
      <selection activeCell="A2" sqref="A2:A15"/>
    </sheetView>
  </sheetViews>
  <sheetFormatPr baseColWidth="10" defaultRowHeight="15" x14ac:dyDescent="0.25"/>
  <cols>
    <col min="1" max="1" width="53.7109375" style="10" bestFit="1" customWidth="1"/>
  </cols>
  <sheetData>
    <row r="1" spans="1:1" x14ac:dyDescent="0.25">
      <c r="A1" t="s">
        <v>51</v>
      </c>
    </row>
    <row r="2" spans="1:1" x14ac:dyDescent="0.25">
      <c r="A2" t="s">
        <v>16</v>
      </c>
    </row>
    <row r="3" spans="1:1" x14ac:dyDescent="0.25">
      <c r="A3" t="s">
        <v>29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30</v>
      </c>
    </row>
    <row r="12" spans="1:1" x14ac:dyDescent="0.25">
      <c r="A12" t="s">
        <v>24</v>
      </c>
    </row>
    <row r="13" spans="1:1" x14ac:dyDescent="0.25">
      <c r="A13" t="s">
        <v>27</v>
      </c>
    </row>
    <row r="14" spans="1:1" x14ac:dyDescent="0.25">
      <c r="A14" t="s">
        <v>25</v>
      </c>
    </row>
    <row r="15" spans="1:1" x14ac:dyDescent="0.25">
      <c r="A15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Stagiaires</vt:lpstr>
      <vt:lpstr>TCD</vt:lpstr>
      <vt:lpstr>CSV_stagiaires</vt:lpstr>
      <vt:lpstr>Critères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2025-08-22T18:34:10Z</dcterms:created>
  <dcterms:modified xsi:type="dcterms:W3CDTF">2025-08-25T22:47:38Z</dcterms:modified>
</cp:coreProperties>
</file>